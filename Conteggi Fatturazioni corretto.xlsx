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massimo/Documents/Codex/2026-05-04/files-mentioned-by-the-user-conteggi/outputs/"/>
    </mc:Choice>
  </mc:AlternateContent>
  <xr:revisionPtr revIDLastSave="0" documentId="13_ncr:1_{80DC4E4D-354F-ED46-9752-8969904A7784}" xr6:coauthVersionLast="47" xr6:coauthVersionMax="47" xr10:uidLastSave="{00000000-0000-0000-0000-000000000000}"/>
  <bookViews>
    <workbookView xWindow="0" yWindow="660" windowWidth="30240" windowHeight="17820" activeTab="2" xr2:uid="{00000000-000D-0000-FFFF-FFFF00000000}"/>
  </bookViews>
  <sheets>
    <sheet name="Parametri fiscali" sheetId="1" r:id="rId1"/>
    <sheet name="Riepilogo fiscale" sheetId="2" r:id="rId2"/>
    <sheet name="Fatturazioni" sheetId="3" r:id="rId3"/>
    <sheet name="Missioni e Rimborsi" sheetId="4" r:id="rId4"/>
    <sheet name="Contratti" sheetId="5" r:id="rId5"/>
    <sheet name="Imposte e Tasse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3" i="6" l="1"/>
  <c r="AG33" i="6"/>
  <c r="AN40" i="6" s="1"/>
  <c r="Z33" i="6"/>
  <c r="AG40" i="6" s="1"/>
  <c r="S33" i="6"/>
  <c r="Z40" i="6" s="1"/>
  <c r="L33" i="6"/>
  <c r="S40" i="6" s="1"/>
  <c r="E33" i="6"/>
  <c r="L40" i="6" s="1"/>
  <c r="AN31" i="6"/>
  <c r="AG31" i="6"/>
  <c r="Z31" i="6"/>
  <c r="S31" i="6"/>
  <c r="L31" i="6"/>
  <c r="E31" i="6"/>
  <c r="AN30" i="6"/>
  <c r="AG30" i="6"/>
  <c r="Z30" i="6"/>
  <c r="S30" i="6"/>
  <c r="L30" i="6"/>
  <c r="E30" i="6"/>
  <c r="E39" i="6" s="1"/>
  <c r="AN28" i="6"/>
  <c r="AG28" i="6"/>
  <c r="AN38" i="6" s="1"/>
  <c r="Z28" i="6"/>
  <c r="AG38" i="6" s="1"/>
  <c r="S28" i="6"/>
  <c r="Z38" i="6" s="1"/>
  <c r="L28" i="6"/>
  <c r="S38" i="6" s="1"/>
  <c r="E28" i="6"/>
  <c r="AN27" i="6"/>
  <c r="AG27" i="6"/>
  <c r="Z27" i="6"/>
  <c r="S27" i="6"/>
  <c r="L27" i="6"/>
  <c r="E27" i="6"/>
  <c r="E38" i="6" s="1"/>
  <c r="E42" i="6" s="1"/>
  <c r="Q22" i="5"/>
  <c r="S22" i="5" s="1"/>
  <c r="Q21" i="5"/>
  <c r="S21" i="5" s="1"/>
  <c r="Q20" i="5"/>
  <c r="P20" i="5"/>
  <c r="O20" i="5"/>
  <c r="S20" i="5" s="1"/>
  <c r="Q19" i="5"/>
  <c r="P19" i="5"/>
  <c r="Q18" i="5"/>
  <c r="P18" i="5"/>
  <c r="Q17" i="5"/>
  <c r="Q25" i="5" s="1"/>
  <c r="P17" i="5"/>
  <c r="P25" i="5" s="1"/>
  <c r="O17" i="5"/>
  <c r="R12" i="5"/>
  <c r="Q12" i="5"/>
  <c r="P12" i="5"/>
  <c r="O12" i="5"/>
  <c r="S10" i="5"/>
  <c r="S9" i="5"/>
  <c r="S8" i="5"/>
  <c r="S7" i="5"/>
  <c r="S6" i="5"/>
  <c r="S5" i="5"/>
  <c r="S4" i="5"/>
  <c r="H4" i="4"/>
  <c r="H3" i="4"/>
  <c r="C3" i="4"/>
  <c r="H2" i="4"/>
  <c r="I2" i="4" s="1"/>
  <c r="K2" i="4" s="1"/>
  <c r="K3" i="4" s="1"/>
  <c r="K4" i="4" s="1"/>
  <c r="C2" i="4"/>
  <c r="Z94" i="3"/>
  <c r="AG94" i="3" s="1"/>
  <c r="Z93" i="3"/>
  <c r="AG93" i="3" s="1"/>
  <c r="Z92" i="3"/>
  <c r="AG92" i="3" s="1"/>
  <c r="Z91" i="3"/>
  <c r="AG91" i="3" s="1"/>
  <c r="Z90" i="3"/>
  <c r="AG90" i="3" s="1"/>
  <c r="Z89" i="3"/>
  <c r="AG89" i="3" s="1"/>
  <c r="Z88" i="3"/>
  <c r="AG88" i="3" s="1"/>
  <c r="Z87" i="3"/>
  <c r="AG87" i="3" s="1"/>
  <c r="Z86" i="3"/>
  <c r="AG86" i="3" s="1"/>
  <c r="Z85" i="3"/>
  <c r="AG85" i="3" s="1"/>
  <c r="Z84" i="3"/>
  <c r="AG84" i="3" s="1"/>
  <c r="Z83" i="3"/>
  <c r="AG83" i="3" s="1"/>
  <c r="Z82" i="3"/>
  <c r="AG82" i="3" s="1"/>
  <c r="Z81" i="3"/>
  <c r="AG81" i="3" s="1"/>
  <c r="Z80" i="3"/>
  <c r="AG80" i="3" s="1"/>
  <c r="U79" i="3"/>
  <c r="Z79" i="3" s="1"/>
  <c r="AG79" i="3" s="1"/>
  <c r="U78" i="3"/>
  <c r="Z78" i="3" s="1"/>
  <c r="AG78" i="3" s="1"/>
  <c r="U77" i="3"/>
  <c r="Z77" i="3" s="1"/>
  <c r="AG77" i="3" s="1"/>
  <c r="U76" i="3"/>
  <c r="Z76" i="3" s="1"/>
  <c r="AG76" i="3" s="1"/>
  <c r="U75" i="3"/>
  <c r="Z75" i="3" s="1"/>
  <c r="AG75" i="3" s="1"/>
  <c r="U74" i="3"/>
  <c r="Z74" i="3" s="1"/>
  <c r="AG74" i="3" s="1"/>
  <c r="U73" i="3"/>
  <c r="R23" i="5" s="1"/>
  <c r="T73" i="3"/>
  <c r="Z72" i="3"/>
  <c r="AG72" i="3" s="1"/>
  <c r="Z71" i="3"/>
  <c r="AG71" i="3" s="1"/>
  <c r="Z70" i="3"/>
  <c r="Z69" i="3"/>
  <c r="Z68" i="3"/>
  <c r="Z67" i="3"/>
  <c r="Z66" i="3"/>
  <c r="Z65" i="3"/>
  <c r="AA65" i="3" s="1"/>
  <c r="Z64" i="3"/>
  <c r="AA64" i="3" s="1"/>
  <c r="Z63" i="3"/>
  <c r="AA63" i="3" s="1"/>
  <c r="Z62" i="3"/>
  <c r="AA62" i="3" s="1"/>
  <c r="Z61" i="3"/>
  <c r="AA61" i="3" s="1"/>
  <c r="Z60" i="3"/>
  <c r="AA60" i="3" s="1"/>
  <c r="Z59" i="3"/>
  <c r="AA59" i="3" s="1"/>
  <c r="P59" i="3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O59" i="3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Z58" i="3"/>
  <c r="AA58" i="3" s="1"/>
  <c r="Z57" i="3"/>
  <c r="AA57" i="3" s="1"/>
  <c r="Z56" i="3"/>
  <c r="AA56" i="3" s="1"/>
  <c r="Z55" i="3"/>
  <c r="AA55" i="3" s="1"/>
  <c r="Z54" i="3"/>
  <c r="AA54" i="3" s="1"/>
  <c r="Z53" i="3"/>
  <c r="AA53" i="3" s="1"/>
  <c r="Z52" i="3"/>
  <c r="AA52" i="3" s="1"/>
  <c r="Z51" i="3"/>
  <c r="AA51" i="3" s="1"/>
  <c r="Z50" i="3"/>
  <c r="AA50" i="3" s="1"/>
  <c r="Z49" i="3"/>
  <c r="AA49" i="3" s="1"/>
  <c r="Z48" i="3"/>
  <c r="AA48" i="3" s="1"/>
  <c r="Z47" i="3"/>
  <c r="AA47" i="3" s="1"/>
  <c r="P47" i="3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O47" i="3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Z46" i="3"/>
  <c r="AA46" i="3" s="1"/>
  <c r="Z45" i="3"/>
  <c r="AA45" i="3" s="1"/>
  <c r="Z44" i="3"/>
  <c r="AA44" i="3" s="1"/>
  <c r="Z43" i="3"/>
  <c r="AA43" i="3" s="1"/>
  <c r="Z42" i="3"/>
  <c r="AA42" i="3" s="1"/>
  <c r="Z41" i="3"/>
  <c r="AA41" i="3" s="1"/>
  <c r="Z40" i="3"/>
  <c r="AA40" i="3" s="1"/>
  <c r="Z39" i="3"/>
  <c r="AA39" i="3" s="1"/>
  <c r="Z38" i="3"/>
  <c r="AA38" i="3" s="1"/>
  <c r="Z37" i="3"/>
  <c r="AA37" i="3" s="1"/>
  <c r="Z36" i="3"/>
  <c r="AA36" i="3" s="1"/>
  <c r="Z35" i="3"/>
  <c r="AA35" i="3" s="1"/>
  <c r="P35" i="3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O35" i="3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D34" i="3"/>
  <c r="Z34" i="3" s="1"/>
  <c r="AA34" i="3" s="1"/>
  <c r="D33" i="3"/>
  <c r="D32" i="3"/>
  <c r="D31" i="3"/>
  <c r="D30" i="3"/>
  <c r="D29" i="3"/>
  <c r="D28" i="3"/>
  <c r="D27" i="3"/>
  <c r="D26" i="3"/>
  <c r="D25" i="3"/>
  <c r="Z25" i="3" s="1"/>
  <c r="AA25" i="3" s="1"/>
  <c r="D24" i="3"/>
  <c r="O19" i="5" s="1"/>
  <c r="S19" i="5" s="1"/>
  <c r="D23" i="3"/>
  <c r="C23" i="3"/>
  <c r="D22" i="3"/>
  <c r="Z22" i="3" s="1"/>
  <c r="AA22" i="3" s="1"/>
  <c r="D21" i="3"/>
  <c r="D20" i="3"/>
  <c r="D19" i="3"/>
  <c r="D18" i="3"/>
  <c r="C18" i="3"/>
  <c r="D17" i="3"/>
  <c r="O18" i="5" s="1"/>
  <c r="S18" i="5" s="1"/>
  <c r="Z16" i="3"/>
  <c r="AA16" i="3" s="1"/>
  <c r="K16" i="3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J16" i="3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D16" i="3"/>
  <c r="D15" i="3"/>
  <c r="D14" i="3"/>
  <c r="AB13" i="3"/>
  <c r="AC13" i="3" s="1"/>
  <c r="D13" i="3"/>
  <c r="AB12" i="3"/>
  <c r="AC12" i="3" s="1"/>
  <c r="D12" i="3"/>
  <c r="D11" i="3"/>
  <c r="Z11" i="3" s="1"/>
  <c r="AA11" i="3" s="1"/>
  <c r="D10" i="3"/>
  <c r="D9" i="3"/>
  <c r="D8" i="3"/>
  <c r="C8" i="3"/>
  <c r="E7" i="3"/>
  <c r="E6" i="3"/>
  <c r="E5" i="3"/>
  <c r="S4" i="3"/>
  <c r="E4" i="3"/>
  <c r="B4" i="3"/>
  <c r="B18" i="2"/>
  <c r="H11" i="2"/>
  <c r="C15" i="2" s="1"/>
  <c r="H10" i="2"/>
  <c r="C14" i="2" s="1"/>
  <c r="B6" i="1"/>
  <c r="B8" i="1" s="1"/>
  <c r="B9" i="1" s="1"/>
  <c r="AN39" i="6" l="1"/>
  <c r="AN42" i="6" s="1"/>
  <c r="B15" i="2" s="1"/>
  <c r="D15" i="2" s="1"/>
  <c r="E15" i="2" s="1"/>
  <c r="AG39" i="6"/>
  <c r="AG42" i="6" s="1"/>
  <c r="B14" i="2" s="1"/>
  <c r="D14" i="2" s="1"/>
  <c r="E14" i="2" s="1"/>
  <c r="Z39" i="6"/>
  <c r="Z42" i="6" s="1"/>
  <c r="S39" i="6"/>
  <c r="S42" i="6" s="1"/>
  <c r="L39" i="6"/>
  <c r="L38" i="6"/>
  <c r="L42" i="6" s="1"/>
  <c r="R25" i="5"/>
  <c r="S23" i="5"/>
  <c r="S17" i="5"/>
  <c r="T17" i="5" s="1"/>
  <c r="O25" i="5"/>
  <c r="S12" i="5"/>
  <c r="T4" i="5"/>
  <c r="AH94" i="3"/>
  <c r="AJ94" i="3"/>
  <c r="AH93" i="3"/>
  <c r="AJ93" i="3"/>
  <c r="AH92" i="3"/>
  <c r="AJ92" i="3"/>
  <c r="AH91" i="3"/>
  <c r="AJ91" i="3"/>
  <c r="AH90" i="3"/>
  <c r="AJ90" i="3"/>
  <c r="AH89" i="3"/>
  <c r="AJ89" i="3"/>
  <c r="AH88" i="3"/>
  <c r="AJ88" i="3"/>
  <c r="AH87" i="3"/>
  <c r="AJ87" i="3"/>
  <c r="AH86" i="3"/>
  <c r="AJ86" i="3"/>
  <c r="AH85" i="3"/>
  <c r="AJ85" i="3"/>
  <c r="AH84" i="3"/>
  <c r="AJ84" i="3"/>
  <c r="AH83" i="3"/>
  <c r="AJ83" i="3"/>
  <c r="AH82" i="3"/>
  <c r="AJ82" i="3"/>
  <c r="AH81" i="3"/>
  <c r="AJ81" i="3"/>
  <c r="AH80" i="3"/>
  <c r="AJ80" i="3"/>
  <c r="AH79" i="3"/>
  <c r="AJ79" i="3"/>
  <c r="AH78" i="3"/>
  <c r="AJ78" i="3"/>
  <c r="AH77" i="3"/>
  <c r="AJ77" i="3"/>
  <c r="AH76" i="3"/>
  <c r="AJ76" i="3"/>
  <c r="AH75" i="3"/>
  <c r="AJ75" i="3"/>
  <c r="AH74" i="3"/>
  <c r="AJ74" i="3"/>
  <c r="W73" i="3"/>
  <c r="W74" i="3" s="1"/>
  <c r="W75" i="3" s="1"/>
  <c r="W76" i="3" s="1"/>
  <c r="W77" i="3" s="1"/>
  <c r="W78" i="3" s="1"/>
  <c r="W79" i="3" s="1"/>
  <c r="Z73" i="3"/>
  <c r="V73" i="3"/>
  <c r="T74" i="3"/>
  <c r="AH72" i="3"/>
  <c r="AJ72" i="3"/>
  <c r="AH71" i="3"/>
  <c r="AJ71" i="3"/>
  <c r="AG70" i="3"/>
  <c r="AA70" i="3"/>
  <c r="AA69" i="3"/>
  <c r="AG69" i="3"/>
  <c r="AA68" i="3"/>
  <c r="AG68" i="3"/>
  <c r="AG67" i="3"/>
  <c r="AA67" i="3"/>
  <c r="AG66" i="3"/>
  <c r="AA66" i="3"/>
  <c r="AB65" i="3"/>
  <c r="AC65" i="3"/>
  <c r="AB64" i="3"/>
  <c r="AC64" i="3"/>
  <c r="AB63" i="3"/>
  <c r="AC63" i="3"/>
  <c r="AB62" i="3"/>
  <c r="AC62" i="3"/>
  <c r="AB61" i="3"/>
  <c r="AC61" i="3"/>
  <c r="AB60" i="3"/>
  <c r="AC60" i="3"/>
  <c r="AB59" i="3"/>
  <c r="AC59" i="3"/>
  <c r="AB58" i="3"/>
  <c r="AC58" i="3"/>
  <c r="AB57" i="3"/>
  <c r="AC57" i="3"/>
  <c r="AB56" i="3"/>
  <c r="AC56" i="3"/>
  <c r="AB55" i="3"/>
  <c r="AC55" i="3"/>
  <c r="AB54" i="3"/>
  <c r="AC54" i="3"/>
  <c r="AB53" i="3"/>
  <c r="AC53" i="3"/>
  <c r="AB52" i="3"/>
  <c r="AC52" i="3"/>
  <c r="AB51" i="3"/>
  <c r="AC51" i="3"/>
  <c r="AB50" i="3"/>
  <c r="AC50" i="3"/>
  <c r="AB49" i="3"/>
  <c r="AC49" i="3"/>
  <c r="AB48" i="3"/>
  <c r="AC48" i="3"/>
  <c r="AB47" i="3"/>
  <c r="AC47" i="3" s="1"/>
  <c r="AB46" i="3"/>
  <c r="AC46" i="3"/>
  <c r="AB45" i="3"/>
  <c r="AC45" i="3" s="1"/>
  <c r="AB44" i="3"/>
  <c r="AC44" i="3"/>
  <c r="AB43" i="3"/>
  <c r="AC43" i="3" s="1"/>
  <c r="AB42" i="3"/>
  <c r="AC42" i="3" s="1"/>
  <c r="AB41" i="3"/>
  <c r="AC41" i="3" s="1"/>
  <c r="AB40" i="3"/>
  <c r="AC40" i="3" s="1"/>
  <c r="AB39" i="3"/>
  <c r="AC39" i="3" s="1"/>
  <c r="AB38" i="3"/>
  <c r="AC38" i="3" s="1"/>
  <c r="AB37" i="3"/>
  <c r="AC37" i="3"/>
  <c r="AB36" i="3"/>
  <c r="AC36" i="3"/>
  <c r="AB35" i="3"/>
  <c r="AC35" i="3" s="1"/>
  <c r="AB34" i="3"/>
  <c r="AC34" i="3" s="1"/>
  <c r="Z33" i="3"/>
  <c r="AA33" i="3" s="1"/>
  <c r="Z32" i="3"/>
  <c r="AA32" i="3" s="1"/>
  <c r="Z31" i="3"/>
  <c r="AA31" i="3" s="1"/>
  <c r="Z30" i="3"/>
  <c r="AA30" i="3" s="1"/>
  <c r="Z29" i="3"/>
  <c r="AA29" i="3" s="1"/>
  <c r="Z28" i="3"/>
  <c r="AA28" i="3" s="1"/>
  <c r="Z27" i="3"/>
  <c r="AA27" i="3" s="1"/>
  <c r="Z26" i="3"/>
  <c r="AA26" i="3" s="1"/>
  <c r="AB25" i="3"/>
  <c r="AC25" i="3"/>
  <c r="Z24" i="3"/>
  <c r="AA24" i="3" s="1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Z23" i="3"/>
  <c r="AA23" i="3" s="1"/>
  <c r="E23" i="3"/>
  <c r="C24" i="3"/>
  <c r="AB22" i="3"/>
  <c r="AC22" i="3" s="1"/>
  <c r="Z21" i="3"/>
  <c r="AA21" i="3" s="1"/>
  <c r="Z20" i="3"/>
  <c r="AA20" i="3" s="1"/>
  <c r="Z19" i="3"/>
  <c r="AA19" i="3" s="1"/>
  <c r="Z18" i="3"/>
  <c r="AA18" i="3" s="1"/>
  <c r="C19" i="3"/>
  <c r="E18" i="3"/>
  <c r="Z17" i="3"/>
  <c r="AA17" i="3" s="1"/>
  <c r="AB16" i="3"/>
  <c r="AC16" i="3"/>
  <c r="Z15" i="3"/>
  <c r="AA15" i="3" s="1"/>
  <c r="Z14" i="3"/>
  <c r="AA14" i="3" s="1"/>
  <c r="Z13" i="3"/>
  <c r="Z12" i="3"/>
  <c r="AB11" i="3"/>
  <c r="AC11" i="3"/>
  <c r="Z10" i="3"/>
  <c r="AA10" i="3" s="1"/>
  <c r="Z9" i="3"/>
  <c r="AA9" i="3" s="1"/>
  <c r="F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Z8" i="3"/>
  <c r="AA8" i="3" s="1"/>
  <c r="C9" i="3"/>
  <c r="E8" i="3"/>
  <c r="B20" i="2"/>
  <c r="B19" i="2"/>
  <c r="I3" i="4"/>
  <c r="I4" i="4" s="1"/>
  <c r="AG73" i="3" l="1"/>
  <c r="C18" i="2"/>
  <c r="V74" i="3"/>
  <c r="T75" i="3"/>
  <c r="AB70" i="3"/>
  <c r="AC70" i="3" s="1"/>
  <c r="AB69" i="3"/>
  <c r="AC69" i="3" s="1"/>
  <c r="AB68" i="3"/>
  <c r="AC68" i="3" s="1"/>
  <c r="AB67" i="3"/>
  <c r="AC67" i="3" s="1"/>
  <c r="AH66" i="3"/>
  <c r="AH67" i="3" s="1"/>
  <c r="AH68" i="3" s="1"/>
  <c r="AH69" i="3" s="1"/>
  <c r="AH70" i="3" s="1"/>
  <c r="AJ66" i="3"/>
  <c r="AJ67" i="3" s="1"/>
  <c r="AJ68" i="3" s="1"/>
  <c r="AJ69" i="3" s="1"/>
  <c r="AJ70" i="3" s="1"/>
  <c r="AB66" i="3"/>
  <c r="AC66" i="3" s="1"/>
  <c r="AB33" i="3"/>
  <c r="AC33" i="3" s="1"/>
  <c r="AB32" i="3"/>
  <c r="AC32" i="3" s="1"/>
  <c r="AB31" i="3"/>
  <c r="AC31" i="3"/>
  <c r="AB30" i="3"/>
  <c r="AC30" i="3"/>
  <c r="AB29" i="3"/>
  <c r="AC29" i="3"/>
  <c r="AB28" i="3"/>
  <c r="AC28" i="3"/>
  <c r="AB27" i="3"/>
  <c r="AC27" i="3"/>
  <c r="AB26" i="3"/>
  <c r="AC26" i="3"/>
  <c r="AB24" i="3"/>
  <c r="AC24" i="3"/>
  <c r="AB23" i="3"/>
  <c r="AC23" i="3"/>
  <c r="E24" i="3"/>
  <c r="C25" i="3"/>
  <c r="AB21" i="3"/>
  <c r="AC21" i="3"/>
  <c r="AB20" i="3"/>
  <c r="AC20" i="3"/>
  <c r="AB19" i="3"/>
  <c r="AC19" i="3"/>
  <c r="AB18" i="3"/>
  <c r="AC18" i="3"/>
  <c r="E19" i="3"/>
  <c r="C20" i="3"/>
  <c r="AB17" i="3"/>
  <c r="AC17" i="3"/>
  <c r="AB15" i="3"/>
  <c r="AC15" i="3" s="1"/>
  <c r="AB14" i="3"/>
  <c r="AC14" i="3"/>
  <c r="AB10" i="3"/>
  <c r="AC10" i="3" s="1"/>
  <c r="AB9" i="3"/>
  <c r="AC9" i="3"/>
  <c r="AB8" i="3"/>
  <c r="AC8" i="3" s="1"/>
  <c r="AD8" i="3" s="1"/>
  <c r="E9" i="3"/>
  <c r="C10" i="3"/>
  <c r="T25" i="5"/>
  <c r="AH73" i="3" l="1"/>
  <c r="AJ73" i="3"/>
  <c r="C19" i="2"/>
  <c r="C20" i="2"/>
  <c r="V75" i="3"/>
  <c r="T76" i="3"/>
  <c r="E25" i="3"/>
  <c r="C26" i="3"/>
  <c r="E20" i="3"/>
  <c r="C21" i="3"/>
  <c r="E21" i="3" s="1"/>
  <c r="AF8" i="3"/>
  <c r="AF9" i="3" s="1"/>
  <c r="AF10" i="3" s="1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AF63" i="3" s="1"/>
  <c r="AF64" i="3" s="1"/>
  <c r="AD9" i="3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D63" i="3" s="1"/>
  <c r="AD64" i="3" s="1"/>
  <c r="AD65" i="3" s="1"/>
  <c r="AD66" i="3" s="1"/>
  <c r="AD67" i="3" s="1"/>
  <c r="AD68" i="3" s="1"/>
  <c r="AD69" i="3" s="1"/>
  <c r="AD70" i="3" s="1"/>
  <c r="E10" i="3"/>
  <c r="C11" i="3"/>
  <c r="V76" i="3" l="1"/>
  <c r="T77" i="3"/>
  <c r="E26" i="3"/>
  <c r="C27" i="3"/>
  <c r="E11" i="3"/>
  <c r="C12" i="3"/>
  <c r="V77" i="3" l="1"/>
  <c r="T78" i="3"/>
  <c r="E27" i="3"/>
  <c r="C28" i="3"/>
  <c r="E12" i="3"/>
  <c r="C13" i="3"/>
  <c r="V78" i="3" l="1"/>
  <c r="T79" i="3"/>
  <c r="V79" i="3" s="1"/>
  <c r="E28" i="3"/>
  <c r="C29" i="3"/>
  <c r="E13" i="3"/>
  <c r="C14" i="3"/>
  <c r="E29" i="3" l="1"/>
  <c r="C30" i="3"/>
  <c r="E14" i="3"/>
  <c r="C15" i="3"/>
  <c r="E30" i="3" l="1"/>
  <c r="C31" i="3"/>
  <c r="E15" i="3"/>
  <c r="C16" i="3"/>
  <c r="E31" i="3" l="1"/>
  <c r="C32" i="3"/>
  <c r="E16" i="3"/>
  <c r="C17" i="3"/>
  <c r="E17" i="3" s="1"/>
  <c r="E32" i="3" l="1"/>
  <c r="C33" i="3"/>
  <c r="E33" i="3" l="1"/>
  <c r="C34" i="3"/>
  <c r="E34" i="3" s="1"/>
</calcChain>
</file>

<file path=xl/sharedStrings.xml><?xml version="1.0" encoding="utf-8"?>
<sst xmlns="http://schemas.openxmlformats.org/spreadsheetml/2006/main" count="444" uniqueCount="269">
  <si>
    <t>Parametri fiscali per accantonamenti futuri</t>
  </si>
  <si>
    <t>Parametro</t>
  </si>
  <si>
    <t>Valore</t>
  </si>
  <si>
    <t>Lettura</t>
  </si>
  <si>
    <t>Nota</t>
  </si>
  <si>
    <t>Regime imposta sostitutiva dal 2025</t>
  </si>
  <si>
    <t>15%</t>
  </si>
  <si>
    <t>Modificabile se cambia regime/aliquota</t>
  </si>
  <si>
    <t>Coefficiente redditivita professionisti</t>
  </si>
  <si>
    <t>78%</t>
  </si>
  <si>
    <t>Usato nel quadro LM per codice attivita 702209</t>
  </si>
  <si>
    <t>Aliquota INPS Gestione Separata 2025/2026</t>
  </si>
  <si>
    <t>26,07%</t>
  </si>
  <si>
    <t>Da aggiornare quando INPS pubblica nuova aliquota</t>
  </si>
  <si>
    <t>Accantonamento teorico su incasso</t>
  </si>
  <si>
    <t>32,0346%</t>
  </si>
  <si>
    <t>78% x (15% + 26,07%)</t>
  </si>
  <si>
    <t>Margine prudenziale extra</t>
  </si>
  <si>
    <t>1%</t>
  </si>
  <si>
    <t>Per arrotondamenti/ritardi/differenze da dichiarazione</t>
  </si>
  <si>
    <t>Accantonamento prudenziale consigliato</t>
  </si>
  <si>
    <t>33,0346%</t>
  </si>
  <si>
    <t>Da usare se vuoi stare piu largo</t>
  </si>
  <si>
    <t>Accantonamento applicato in Fatturazioni</t>
  </si>
  <si>
    <t>Formula applicata nelle prossime righe: prudenziale 78% x (15% + INPS) + 1%</t>
  </si>
  <si>
    <t>Riepilogo fiscale e riconciliazione documenti</t>
  </si>
  <si>
    <t>Anno imposta</t>
  </si>
  <si>
    <t>Ricavi LM</t>
  </si>
  <si>
    <t>Reddito lordo LM</t>
  </si>
  <si>
    <t>Contributi dedotti LM</t>
  </si>
  <si>
    <t>Reddito netto LM</t>
  </si>
  <si>
    <t>Imposta sostitutiva LM</t>
  </si>
  <si>
    <t>Acconti imposta versati</t>
  </si>
  <si>
    <t>Saldo/credito imposta</t>
  </si>
  <si>
    <t>Anno pagamento</t>
  </si>
  <si>
    <t>Erario saldo</t>
  </si>
  <si>
    <t>Erario 1 acconto</t>
  </si>
  <si>
    <t>Erario 2 acconto</t>
  </si>
  <si>
    <t>INPS saldo</t>
  </si>
  <si>
    <t>INPS 1 acconto</t>
  </si>
  <si>
    <t>INPS 2 acconto</t>
  </si>
  <si>
    <t>Totale F24 imposte+INPS</t>
  </si>
  <si>
    <t>Controllo</t>
  </si>
  <si>
    <t>Valore workbook</t>
  </si>
  <si>
    <t>Valore PDF/F24</t>
  </si>
  <si>
    <t>Delta</t>
  </si>
  <si>
    <t>Esito</t>
  </si>
  <si>
    <t>Totale pagamenti 2024</t>
  </si>
  <si>
    <t>Totale pagamenti 2025</t>
  </si>
  <si>
    <t>Stima annua da incassi Excel</t>
  </si>
  <si>
    <t>2025</t>
  </si>
  <si>
    <t>2026</t>
  </si>
  <si>
    <t>Incassi anno</t>
  </si>
  <si>
    <t>Accantonamento teorico</t>
  </si>
  <si>
    <t>Accantonamento prudenziale</t>
  </si>
  <si>
    <t>DIPARTIMENTO PER LO SPORT (STUDIARE SVILUPPO/EUTALIA)</t>
  </si>
  <si>
    <t>FEI WCH 2022 (FISE/ESE)</t>
  </si>
  <si>
    <t>MINISTRO SPORT E GIOVANI (SPORT E SALUTE)</t>
  </si>
  <si>
    <t>MINISTRO SPORT E GIOVANI e DPGSCU (EUTALIA)</t>
  </si>
  <si>
    <t>TOTALE INCASSI MENSILI</t>
  </si>
  <si>
    <t>ACCANTONAMENTO PER PAGAMENTO TASSE</t>
  </si>
  <si>
    <t>NUOVO ACCANTONAMENTO TASSE (parametrico)</t>
  </si>
  <si>
    <t>MESE</t>
  </si>
  <si>
    <t>GIORNATE FATTURATE</t>
  </si>
  <si>
    <t>RIMANENZA GIORNATE</t>
  </si>
  <si>
    <t>IMPORTO FATTURA</t>
  </si>
  <si>
    <t>IMPORTO RIMANENTE</t>
  </si>
  <si>
    <t>TOTALE INCASSATO</t>
  </si>
  <si>
    <t>EMISSIONE FATTURA</t>
  </si>
  <si>
    <t>SALDO FATTURA</t>
  </si>
  <si>
    <t>Saldo</t>
  </si>
  <si>
    <t>Acconto</t>
  </si>
  <si>
    <t>Parziale</t>
  </si>
  <si>
    <t>Totale</t>
  </si>
  <si>
    <t>Eseguito</t>
  </si>
  <si>
    <t>Mancante</t>
  </si>
  <si>
    <t>start</t>
  </si>
  <si>
    <t>1° proroga dps</t>
  </si>
  <si>
    <t>2° proroga dps</t>
  </si>
  <si>
    <t>integraz. dps</t>
  </si>
  <si>
    <t>RIPORTO</t>
  </si>
  <si>
    <t>Saldo CC</t>
  </si>
  <si>
    <t>&lt;-----</t>
  </si>
  <si>
    <t>Vers. To-do</t>
  </si>
  <si>
    <t>Dal rigo 66: AG usa Parametri fiscali!B9</t>
  </si>
  <si>
    <t>Ora B9 punta al valore prudenziale: 33,0346%</t>
  </si>
  <si>
    <t>MISSIONE</t>
  </si>
  <si>
    <t>PERIODO</t>
  </si>
  <si>
    <t>IMP. FATT.</t>
  </si>
  <si>
    <t>NOTA SPESE</t>
  </si>
  <si>
    <t>FATTURA</t>
  </si>
  <si>
    <t>SALDATO</t>
  </si>
  <si>
    <t>IMPORTO</t>
  </si>
  <si>
    <t>Sopralluogo Campionati Mondiali Sci Alpino</t>
  </si>
  <si>
    <t>28-30/01/21</t>
  </si>
  <si>
    <t>ok</t>
  </si>
  <si>
    <t>Campionati Mondiali di Sci Alpino</t>
  </si>
  <si>
    <t>3-21/02/21</t>
  </si>
  <si>
    <t>CCI 1*-2*-3*-4* @ Pratoni del Vivaro</t>
  </si>
  <si>
    <t>4-7/11/21</t>
  </si>
  <si>
    <t>Libyan Final Six Milano 2025</t>
  </si>
  <si>
    <t>28/7-7/8/25</t>
  </si>
  <si>
    <t>no fattura</t>
  </si>
  <si>
    <t>Data Firma</t>
  </si>
  <si>
    <t>Dati Contratto</t>
  </si>
  <si>
    <t>Ente</t>
  </si>
  <si>
    <t>Lavoro</t>
  </si>
  <si>
    <t>Tipologia</t>
  </si>
  <si>
    <t>Inizio</t>
  </si>
  <si>
    <t>Fine</t>
  </si>
  <si>
    <t>Importo</t>
  </si>
  <si>
    <t>Giornate</t>
  </si>
  <si>
    <t>€/giornata</t>
  </si>
  <si>
    <t>Stato</t>
  </si>
  <si>
    <t>Conteggi annuali</t>
  </si>
  <si>
    <t>Prot. 034012/StSv</t>
  </si>
  <si>
    <t>STUDIARE SVILUPPO</t>
  </si>
  <si>
    <t>DIPARTIMENTO PER LO SPORT</t>
  </si>
  <si>
    <t>Incarico</t>
  </si>
  <si>
    <t>140gg</t>
  </si>
  <si>
    <t>terminato</t>
  </si>
  <si>
    <t>DPS</t>
  </si>
  <si>
    <t>FISE</t>
  </si>
  <si>
    <t>SES</t>
  </si>
  <si>
    <t>DPGSCU</t>
  </si>
  <si>
    <t>TOT.</t>
  </si>
  <si>
    <t>G.T.</t>
  </si>
  <si>
    <t>Incassi 2020</t>
  </si>
  <si>
    <t>-</t>
  </si>
  <si>
    <t>FISE-ESE</t>
  </si>
  <si>
    <t>FEI WCH 2022</t>
  </si>
  <si>
    <t>Incassi 2021</t>
  </si>
  <si>
    <t>Incassi 2022</t>
  </si>
  <si>
    <t>Prot. 41528/StSv</t>
  </si>
  <si>
    <t>Proroga</t>
  </si>
  <si>
    <t>48gg</t>
  </si>
  <si>
    <t>Incassi 2023</t>
  </si>
  <si>
    <t>Incassi 2024</t>
  </si>
  <si>
    <t>Integrazione</t>
  </si>
  <si>
    <t>Incassi 2025</t>
  </si>
  <si>
    <t>Incassi 2026</t>
  </si>
  <si>
    <t>Prot. 45069/StSv</t>
  </si>
  <si>
    <t>165gg</t>
  </si>
  <si>
    <t>Totali ente</t>
  </si>
  <si>
    <t>Prot. 55993/EUT</t>
  </si>
  <si>
    <t>3gg</t>
  </si>
  <si>
    <t>Conteggi annuali effettivi da fatture</t>
  </si>
  <si>
    <t>Cnt. 2066854</t>
  </si>
  <si>
    <t>SPORT E SALUTE</t>
  </si>
  <si>
    <t>DPGSCU - MIN. SPORT E GIOVANI</t>
  </si>
  <si>
    <t>Cnt. 2071022</t>
  </si>
  <si>
    <t>MINISTRO SPORT E GIOVANI</t>
  </si>
  <si>
    <t>Cnt. 2075155</t>
  </si>
  <si>
    <t>Prot. 81220/EUT</t>
  </si>
  <si>
    <t>EUTALIA</t>
  </si>
  <si>
    <t>97gg</t>
  </si>
  <si>
    <t>in corso</t>
  </si>
  <si>
    <t>Mancanti</t>
  </si>
  <si>
    <t>DICHIARAZIONE REDDITI 2021 - PERIODO D'IMPOSTA 2020</t>
  </si>
  <si>
    <t>DICHIARAZIONE REDDITI 2022 - PERIODO D'IMPOSTA 2021</t>
  </si>
  <si>
    <t>DICHIARAZIONE REDDITI 2023 - PERIODO D'IMPOSTA 2022</t>
  </si>
  <si>
    <t>DICHIARAZIONE REDDITI 2024 - PERIODO D'IMPOSTA 2023</t>
  </si>
  <si>
    <t>DICHIARAZIONE REDDITI 2025 - PERIODO D'IMPOSTA 2024</t>
  </si>
  <si>
    <t>DICHIARAZIONE REDDITI 2026 - PERIODO D'IMPOSTA 2025</t>
  </si>
  <si>
    <t>ERARIO 2020</t>
  </si>
  <si>
    <t>Data Vers.</t>
  </si>
  <si>
    <t>Interessi</t>
  </si>
  <si>
    <t>ERARIO 2021</t>
  </si>
  <si>
    <t>ERARIO 2022</t>
  </si>
  <si>
    <t>ERARIO 2023</t>
  </si>
  <si>
    <t>ERARIO 2024</t>
  </si>
  <si>
    <t>ERARIO 2025</t>
  </si>
  <si>
    <t>SALDO 2020</t>
  </si>
  <si>
    <t>SALDO 2021</t>
  </si>
  <si>
    <t>SALDO 2022</t>
  </si>
  <si>
    <t>SALDO 2023</t>
  </si>
  <si>
    <t>SALDO 2024</t>
  </si>
  <si>
    <t>SALDO 2025</t>
  </si>
  <si>
    <t>1° ACCONTO 2021</t>
  </si>
  <si>
    <t>1° ACCONTO 2022</t>
  </si>
  <si>
    <t>1° ACCONTO 2023</t>
  </si>
  <si>
    <t>1° ACCONTO 2024</t>
  </si>
  <si>
    <t>1° ACCONTO 2025</t>
  </si>
  <si>
    <t>1° ACCONTO 2026</t>
  </si>
  <si>
    <t>2° ACCONTO 2021</t>
  </si>
  <si>
    <t>2° ACCONTO 2022</t>
  </si>
  <si>
    <t>2° ACCONTO 2023</t>
  </si>
  <si>
    <t>2° ACCONTO 2024</t>
  </si>
  <si>
    <t>2° ACCONTO 2025</t>
  </si>
  <si>
    <t>2° ACCONTO 2026</t>
  </si>
  <si>
    <t>INPS 2020</t>
  </si>
  <si>
    <t>INPS 2021</t>
  </si>
  <si>
    <t>INPS 2022</t>
  </si>
  <si>
    <t>INPS 2023</t>
  </si>
  <si>
    <t>INPS 2024</t>
  </si>
  <si>
    <t>INPS 2025</t>
  </si>
  <si>
    <t>BOLLI FATT. 2021</t>
  </si>
  <si>
    <t>BOLLI FATT. 2022</t>
  </si>
  <si>
    <t>BOLLI FATT. 2023</t>
  </si>
  <si>
    <t>BOLLI FATT. 2024</t>
  </si>
  <si>
    <t>BOLLI FATT. 2025</t>
  </si>
  <si>
    <t>1° TRIMESTRE '21</t>
  </si>
  <si>
    <t>1° TRIMESTRE '22</t>
  </si>
  <si>
    <t>1° TRIMESTRE '23</t>
  </si>
  <si>
    <t>1° TRIMESTRE '24</t>
  </si>
  <si>
    <t>1° TRIMESTRE '25</t>
  </si>
  <si>
    <t>1° TRIMESTRE '26</t>
  </si>
  <si>
    <t>2° TRIMESTRE '21</t>
  </si>
  <si>
    <t>2° TRIMESTRE '22</t>
  </si>
  <si>
    <t>2° TRIMESTRE '23</t>
  </si>
  <si>
    <t>2° TRIMESTRE '24</t>
  </si>
  <si>
    <t>2° TRIMESTRE '25</t>
  </si>
  <si>
    <t>2° TRIMESTRE '26</t>
  </si>
  <si>
    <t>3° TRIMESTRE '21</t>
  </si>
  <si>
    <t>3° TRIMESTRE '22</t>
  </si>
  <si>
    <t>3° TRIMESTRE '23</t>
  </si>
  <si>
    <t>3° TRIMESTRE '24</t>
  </si>
  <si>
    <t>3° TRIMESTRE '25</t>
  </si>
  <si>
    <t>3° TRIMESTRE '26</t>
  </si>
  <si>
    <t>4° TRIMESTRE '21</t>
  </si>
  <si>
    <t>4° TRIMESTRE '22</t>
  </si>
  <si>
    <t>4° TRIMESTRE '23</t>
  </si>
  <si>
    <t>4° TRIMESTRE '24</t>
  </si>
  <si>
    <t>4° TRIMESTRE '25</t>
  </si>
  <si>
    <t>4° TRIMESTRE '26</t>
  </si>
  <si>
    <t>CALCOLO TOTALE VERSAMENTI</t>
  </si>
  <si>
    <t>SALDO ERARIO 2020</t>
  </si>
  <si>
    <t>SALDO ERARIO 2021</t>
  </si>
  <si>
    <t>SALDO ERARIO 2022</t>
  </si>
  <si>
    <t>SALDO ERARIO 2023</t>
  </si>
  <si>
    <t>SALDO ERARIO 2024</t>
  </si>
  <si>
    <t>SALDO ERARIO 2025</t>
  </si>
  <si>
    <t>ACCONTO ERARIO 2021</t>
  </si>
  <si>
    <t>ACCONTO ERARIO 2022</t>
  </si>
  <si>
    <t>ACCONTO ERARIO 2023</t>
  </si>
  <si>
    <t>ACCONTO ERARIO 2024</t>
  </si>
  <si>
    <t>ACCONTO ERARIO 2025</t>
  </si>
  <si>
    <t>ACCONTO ERARIO 2026</t>
  </si>
  <si>
    <t>SALDO INPS 2020</t>
  </si>
  <si>
    <t>SALDO INPS 2021</t>
  </si>
  <si>
    <t>SALDO INPS 2022</t>
  </si>
  <si>
    <t>SALDO INPS 2023</t>
  </si>
  <si>
    <t>SALDO INPS 2024</t>
  </si>
  <si>
    <t>SALDO INPS 2025</t>
  </si>
  <si>
    <t>ACCONTO INPS 2021</t>
  </si>
  <si>
    <t>ACCONTO INPS 2022</t>
  </si>
  <si>
    <t>ACCONTO INPS 2023</t>
  </si>
  <si>
    <t>ACCONTO INPS 2024</t>
  </si>
  <si>
    <t>ACCONTO INPS 2025</t>
  </si>
  <si>
    <t>ACCONTO INPS 2026</t>
  </si>
  <si>
    <t>BOLLI FATTURE 2021</t>
  </si>
  <si>
    <t>BOLLI FATTURE 2022</t>
  </si>
  <si>
    <t>BOLLI FATTURE 2023</t>
  </si>
  <si>
    <t>BOLLI FATTURE 2024</t>
  </si>
  <si>
    <t>BOLLI FATTURE 2025</t>
  </si>
  <si>
    <t>BOLLI FATTURE 2026</t>
  </si>
  <si>
    <t>CALCOLO TOTALE ANNO 2020</t>
  </si>
  <si>
    <t>CALCOLO TOTALE ANNO 2021</t>
  </si>
  <si>
    <t>CALCOLO TOTALE ANNO 2022</t>
  </si>
  <si>
    <t>CALCOLO TOTALE ANNO 2023</t>
  </si>
  <si>
    <t>CALCOLO TOTALE ANNO 2024</t>
  </si>
  <si>
    <t>CALCOLO TOTALE ANNO 2025</t>
  </si>
  <si>
    <t>BOLLI FATTURE 2020</t>
  </si>
  <si>
    <t>TOTALE '20</t>
  </si>
  <si>
    <t>TOTALE '21</t>
  </si>
  <si>
    <t>TOTALE '22</t>
  </si>
  <si>
    <t>TOTALE '23</t>
  </si>
  <si>
    <t>TOTALE '24</t>
  </si>
  <si>
    <t>TOTALE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</si>
</sst>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0\ [$€-410]"/>
    <numFmt numFmtId="166" formatCode="#,##0\ &quot;€&quot;"/>
    <numFmt numFmtId="168" formatCode="0.0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1" fillId="0" borderId="0"/>
  </cellStyleXfs>
  <cellXfs count="20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4" fontId="9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17" fontId="5" fillId="0" borderId="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7" fontId="7" fillId="0" borderId="4" xfId="0" applyNumberFormat="1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44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3" xfId="1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right" vertical="center"/>
    </xf>
    <xf numFmtId="166" fontId="5" fillId="0" borderId="3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6" fontId="0" fillId="0" borderId="2" xfId="1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right" vertical="center"/>
    </xf>
    <xf numFmtId="166" fontId="7" fillId="0" borderId="3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vertical="center"/>
    </xf>
    <xf numFmtId="44" fontId="3" fillId="0" borderId="1" xfId="1" applyFont="1" applyBorder="1" applyAlignment="1">
      <alignment vertical="center"/>
    </xf>
    <xf numFmtId="44" fontId="4" fillId="0" borderId="1" xfId="1" applyFont="1" applyBorder="1" applyAlignment="1">
      <alignment vertical="center"/>
    </xf>
    <xf numFmtId="166" fontId="8" fillId="0" borderId="1" xfId="1" applyNumberFormat="1" applyFont="1" applyBorder="1" applyAlignment="1">
      <alignment horizontal="right" vertical="center"/>
    </xf>
    <xf numFmtId="166" fontId="1" fillId="0" borderId="1" xfId="1" applyNumberFormat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/>
    <xf numFmtId="0" fontId="14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14" fontId="0" fillId="0" borderId="0" xfId="0" applyNumberFormat="1" applyAlignment="1">
      <alignment vertical="center"/>
    </xf>
    <xf numFmtId="14" fontId="0" fillId="0" borderId="0" xfId="0" applyNumberFormat="1"/>
    <xf numFmtId="6" fontId="0" fillId="0" borderId="0" xfId="0" applyNumberFormat="1" applyAlignment="1">
      <alignment horizontal="center"/>
    </xf>
    <xf numFmtId="14" fontId="0" fillId="0" borderId="1" xfId="0" applyNumberForma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44" fontId="2" fillId="0" borderId="1" xfId="1" applyFont="1" applyBorder="1"/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0" fillId="3" borderId="1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4" fontId="0" fillId="3" borderId="8" xfId="0" applyNumberFormat="1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165" fontId="0" fillId="0" borderId="8" xfId="0" applyNumberFormat="1" applyBorder="1" applyAlignment="1">
      <alignment vertical="center"/>
    </xf>
    <xf numFmtId="44" fontId="0" fillId="0" borderId="8" xfId="1" applyFont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10" fillId="3" borderId="3" xfId="0" quotePrefix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9" fillId="3" borderId="1" xfId="0" quotePrefix="1" applyNumberFormat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3" borderId="2" xfId="0" quotePrefix="1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right" vertical="center"/>
    </xf>
    <xf numFmtId="164" fontId="0" fillId="3" borderId="1" xfId="1" applyNumberFormat="1" applyFont="1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/>
    </xf>
    <xf numFmtId="165" fontId="9" fillId="3" borderId="4" xfId="0" quotePrefix="1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165" fontId="5" fillId="3" borderId="10" xfId="0" applyNumberFormat="1" applyFont="1" applyFill="1" applyBorder="1" applyAlignment="1">
      <alignment horizontal="right" vertical="center"/>
    </xf>
    <xf numFmtId="166" fontId="5" fillId="3" borderId="12" xfId="0" applyNumberFormat="1" applyFont="1" applyFill="1" applyBorder="1" applyAlignment="1">
      <alignment horizontal="right" vertical="center"/>
    </xf>
    <xf numFmtId="166" fontId="0" fillId="3" borderId="12" xfId="1" applyNumberFormat="1" applyFont="1" applyFill="1" applyBorder="1" applyAlignment="1">
      <alignment horizontal="right" vertical="center"/>
    </xf>
    <xf numFmtId="166" fontId="0" fillId="3" borderId="13" xfId="1" applyNumberFormat="1" applyFont="1" applyFill="1" applyBorder="1" applyAlignment="1">
      <alignment horizontal="right" vertical="center"/>
    </xf>
    <xf numFmtId="44" fontId="0" fillId="0" borderId="0" xfId="1" applyFont="1"/>
    <xf numFmtId="44" fontId="0" fillId="0" borderId="0" xfId="0" applyNumberFormat="1"/>
    <xf numFmtId="0" fontId="0" fillId="6" borderId="0" xfId="0" applyFill="1"/>
    <xf numFmtId="0" fontId="15" fillId="0" borderId="0" xfId="0" applyFont="1"/>
    <xf numFmtId="44" fontId="15" fillId="0" borderId="0" xfId="0" applyNumberFormat="1" applyFont="1"/>
    <xf numFmtId="44" fontId="8" fillId="0" borderId="15" xfId="1" applyFont="1" applyBorder="1" applyAlignment="1">
      <alignment vertical="center"/>
    </xf>
    <xf numFmtId="0" fontId="2" fillId="0" borderId="1" xfId="0" quotePrefix="1" applyFont="1" applyBorder="1"/>
    <xf numFmtId="44" fontId="0" fillId="0" borderId="0" xfId="1" applyFont="1" applyAlignment="1">
      <alignment horizontal="right" vertical="center"/>
    </xf>
    <xf numFmtId="4" fontId="0" fillId="0" borderId="0" xfId="0" applyNumberFormat="1" applyAlignment="1">
      <alignment vertical="center"/>
    </xf>
    <xf numFmtId="166" fontId="0" fillId="2" borderId="1" xfId="1" applyNumberFormat="1" applyFont="1" applyFill="1" applyBorder="1" applyAlignment="1">
      <alignment horizontal="right" vertical="center"/>
    </xf>
    <xf numFmtId="44" fontId="0" fillId="0" borderId="0" xfId="1" applyFont="1" applyAlignment="1">
      <alignment horizontal="left"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vertical="center"/>
    </xf>
    <xf numFmtId="44" fontId="8" fillId="0" borderId="1" xfId="1" applyFont="1" applyBorder="1" applyAlignment="1">
      <alignment vertical="center"/>
    </xf>
    <xf numFmtId="0" fontId="16" fillId="0" borderId="0" xfId="0" applyFont="1" applyAlignment="1">
      <alignment horizontal="center"/>
    </xf>
    <xf numFmtId="14" fontId="0" fillId="0" borderId="1" xfId="0" quotePrefix="1" applyNumberFormat="1" applyBorder="1" applyAlignment="1">
      <alignment horizontal="center" vertical="center"/>
    </xf>
    <xf numFmtId="44" fontId="1" fillId="0" borderId="1" xfId="1" applyBorder="1" applyAlignment="1">
      <alignment vertical="center"/>
    </xf>
    <xf numFmtId="0" fontId="0" fillId="2" borderId="1" xfId="0" applyFill="1" applyBorder="1" applyAlignment="1">
      <alignment horizontal="center"/>
    </xf>
    <xf numFmtId="17" fontId="17" fillId="0" borderId="4" xfId="0" applyNumberFormat="1" applyFont="1" applyBorder="1" applyAlignment="1">
      <alignment horizontal="center" vertical="center"/>
    </xf>
    <xf numFmtId="17" fontId="17" fillId="0" borderId="10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vertical="center"/>
    </xf>
    <xf numFmtId="166" fontId="5" fillId="3" borderId="11" xfId="0" applyNumberFormat="1" applyFont="1" applyFill="1" applyBorder="1" applyAlignment="1">
      <alignment horizontal="right" vertical="center"/>
    </xf>
    <xf numFmtId="166" fontId="5" fillId="3" borderId="3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6" fontId="0" fillId="3" borderId="1" xfId="1" applyNumberFormat="1" applyFont="1" applyFill="1" applyBorder="1" applyAlignment="1">
      <alignment horizontal="right" vertical="center"/>
    </xf>
    <xf numFmtId="166" fontId="0" fillId="3" borderId="2" xfId="1" applyNumberFormat="1" applyFont="1" applyFill="1" applyBorder="1" applyAlignment="1">
      <alignment horizontal="right" vertical="center"/>
    </xf>
    <xf numFmtId="166" fontId="1" fillId="3" borderId="1" xfId="1" applyNumberFormat="1" applyFill="1" applyBorder="1" applyAlignment="1">
      <alignment horizontal="right" vertical="center"/>
    </xf>
    <xf numFmtId="166" fontId="0" fillId="3" borderId="2" xfId="0" applyNumberFormat="1" applyFill="1" applyBorder="1" applyAlignment="1">
      <alignment horizontal="right" vertical="center"/>
    </xf>
    <xf numFmtId="166" fontId="8" fillId="3" borderId="1" xfId="1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  <xf numFmtId="166" fontId="19" fillId="0" borderId="1" xfId="0" applyNumberFormat="1" applyFont="1" applyBorder="1" applyAlignment="1">
      <alignment horizontal="right" vertical="center"/>
    </xf>
    <xf numFmtId="166" fontId="6" fillId="0" borderId="1" xfId="1" applyNumberFormat="1" applyFont="1" applyBorder="1" applyAlignment="1">
      <alignment horizontal="right" vertical="center"/>
    </xf>
    <xf numFmtId="166" fontId="6" fillId="0" borderId="2" xfId="1" applyNumberFormat="1" applyFont="1" applyBorder="1" applyAlignment="1">
      <alignment horizontal="right" vertical="center"/>
    </xf>
    <xf numFmtId="44" fontId="6" fillId="0" borderId="0" xfId="1" applyFont="1" applyAlignment="1">
      <alignment vertical="center"/>
    </xf>
    <xf numFmtId="0" fontId="10" fillId="3" borderId="17" xfId="0" quotePrefix="1" applyFon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9" fillId="3" borderId="17" xfId="0" quotePrefix="1" applyFont="1" applyFill="1" applyBorder="1" applyAlignment="1">
      <alignment horizontal="center" vertical="center"/>
    </xf>
    <xf numFmtId="164" fontId="0" fillId="3" borderId="17" xfId="1" applyNumberFormat="1" applyFont="1" applyFill="1" applyBorder="1" applyAlignment="1">
      <alignment horizontal="right" vertical="center"/>
    </xf>
    <xf numFmtId="164" fontId="8" fillId="3" borderId="17" xfId="1" applyNumberFormat="1" applyFont="1" applyFill="1" applyBorder="1" applyAlignment="1">
      <alignment horizontal="right" vertical="center"/>
    </xf>
    <xf numFmtId="0" fontId="2" fillId="0" borderId="27" xfId="0" applyFont="1" applyBorder="1" applyAlignment="1">
      <alignment horizontal="center" vertical="center" wrapText="1"/>
    </xf>
    <xf numFmtId="0" fontId="10" fillId="3" borderId="27" xfId="0" quotePrefix="1" applyFont="1" applyFill="1" applyBorder="1" applyAlignment="1">
      <alignment horizontal="center" vertical="center"/>
    </xf>
    <xf numFmtId="0" fontId="9" fillId="3" borderId="27" xfId="0" quotePrefix="1" applyFont="1" applyFill="1" applyBorder="1" applyAlignment="1">
      <alignment horizontal="center" vertical="center"/>
    </xf>
    <xf numFmtId="164" fontId="0" fillId="3" borderId="27" xfId="1" applyNumberFormat="1" applyFont="1" applyFill="1" applyBorder="1" applyAlignment="1">
      <alignment horizontal="right" vertical="center"/>
    </xf>
    <xf numFmtId="164" fontId="8" fillId="3" borderId="27" xfId="1" applyNumberFormat="1" applyFont="1" applyFill="1" applyBorder="1" applyAlignment="1">
      <alignment horizontal="right" vertical="center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164" fontId="8" fillId="3" borderId="1" xfId="1" applyNumberFormat="1" applyFont="1" applyFill="1" applyBorder="1" applyAlignment="1">
      <alignment horizontal="right" vertical="center"/>
    </xf>
    <xf numFmtId="44" fontId="0" fillId="0" borderId="28" xfId="0" applyNumberFormat="1" applyBorder="1" applyAlignment="1">
      <alignment vertical="center"/>
    </xf>
    <xf numFmtId="44" fontId="0" fillId="0" borderId="8" xfId="0" applyNumberFormat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6" fontId="0" fillId="0" borderId="1" xfId="0" quotePrefix="1" applyNumberFormat="1" applyBorder="1" applyAlignment="1">
      <alignment horizontal="center"/>
    </xf>
    <xf numFmtId="165" fontId="13" fillId="0" borderId="0" xfId="0" applyNumberFormat="1" applyFont="1" applyAlignment="1">
      <alignment horizontal="center" vertical="center"/>
    </xf>
    <xf numFmtId="44" fontId="3" fillId="0" borderId="14" xfId="1" applyFont="1" applyBorder="1" applyAlignment="1">
      <alignment vertical="center"/>
    </xf>
    <xf numFmtId="44" fontId="4" fillId="0" borderId="14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7" borderId="1" xfId="0" applyFill="1" applyBorder="1" applyAlignment="1">
      <alignment horizontal="center"/>
    </xf>
    <xf numFmtId="0" fontId="21" fillId="9" borderId="36" xfId="0" applyFont="1" applyFill="1" applyBorder="1" applyAlignment="1">
      <alignment vertical="center" wrapText="1"/>
    </xf>
    <xf numFmtId="0" fontId="21" fillId="9" borderId="0" xfId="0" applyFont="1" applyFill="1"/>
    <xf numFmtId="0" fontId="0" fillId="0" borderId="36" xfId="0" applyBorder="1" applyAlignment="1">
      <alignment vertical="center" wrapText="1"/>
    </xf>
    <xf numFmtId="168" fontId="0" fillId="0" borderId="36" xfId="0" applyNumberFormat="1" applyBorder="1" applyAlignment="1">
      <alignment vertical="center" wrapText="1"/>
    </xf>
    <xf numFmtId="4" fontId="0" fillId="0" borderId="36" xfId="0" applyNumberFormat="1" applyBorder="1" applyAlignment="1">
      <alignment vertical="center" wrapText="1"/>
    </xf>
    <xf numFmtId="4" fontId="0" fillId="0" borderId="0" xfId="0" applyNumberFormat="1"/>
    <xf numFmtId="0" fontId="21" fillId="10" borderId="0" xfId="0" applyFont="1" applyFill="1"/>
    <xf numFmtId="0" fontId="21" fillId="11" borderId="36" xfId="0" applyFont="1" applyFill="1" applyBorder="1" applyAlignment="1">
      <alignment vertical="center" wrapText="1"/>
    </xf>
    <xf numFmtId="0" fontId="21" fillId="11" borderId="0" xfId="0" applyFont="1" applyFill="1"/>
    <xf numFmtId="4" fontId="5" fillId="0" borderId="1" xfId="0" applyNumberFormat="1" applyFont="1" applyBorder="1" applyAlignment="1">
      <alignment horizontal="right" vertical="center"/>
    </xf>
    <xf numFmtId="4" fontId="0" fillId="0" borderId="2" xfId="1" applyNumberFormat="1" applyFont="1" applyBorder="1" applyAlignment="1">
      <alignment horizontal="right" vertical="center"/>
    </xf>
    <xf numFmtId="4" fontId="10" fillId="3" borderId="1" xfId="0" quotePrefix="1" applyNumberFormat="1" applyFont="1" applyFill="1" applyBorder="1" applyAlignment="1">
      <alignment horizontal="center" vertical="center"/>
    </xf>
    <xf numFmtId="4" fontId="9" fillId="3" borderId="1" xfId="1" quotePrefix="1" applyNumberFormat="1" applyFont="1" applyFill="1" applyBorder="1" applyAlignment="1">
      <alignment horizontal="center" vertical="center"/>
    </xf>
    <xf numFmtId="4" fontId="9" fillId="3" borderId="2" xfId="1" quotePrefix="1" applyNumberFormat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0" fillId="8" borderId="0" xfId="0" applyFont="1" applyFill="1"/>
    <xf numFmtId="0" fontId="0" fillId="0" borderId="0" xfId="0"/>
    <xf numFmtId="0" fontId="14" fillId="0" borderId="9" xfId="0" applyFont="1" applyBorder="1" applyAlignment="1">
      <alignment horizontal="center" vertical="center" wrapText="1"/>
    </xf>
    <xf numFmtId="0" fontId="0" fillId="0" borderId="32" xfId="0" applyBorder="1"/>
    <xf numFmtId="0" fontId="0" fillId="0" borderId="7" xfId="0" applyBorder="1"/>
    <xf numFmtId="0" fontId="11" fillId="0" borderId="6" xfId="0" applyFont="1" applyBorder="1" applyAlignment="1">
      <alignment horizontal="center" vertical="center"/>
    </xf>
    <xf numFmtId="0" fontId="0" fillId="0" borderId="21" xfId="0" applyBorder="1"/>
    <xf numFmtId="0" fontId="0" fillId="0" borderId="30" xfId="0" applyBorder="1"/>
    <xf numFmtId="0" fontId="0" fillId="0" borderId="23" xfId="0" applyBorder="1"/>
    <xf numFmtId="0" fontId="0" fillId="0" borderId="24" xfId="0" applyBorder="1"/>
    <xf numFmtId="0" fontId="0" fillId="0" borderId="31" xfId="0" applyBorder="1"/>
    <xf numFmtId="0" fontId="12" fillId="4" borderId="6" xfId="0" applyFont="1" applyFill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2" fillId="5" borderId="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33" xfId="0" applyBorder="1"/>
    <xf numFmtId="0" fontId="0" fillId="0" borderId="9" xfId="0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165" fontId="13" fillId="0" borderId="1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5" fillId="0" borderId="0" xfId="0" applyFont="1" applyAlignment="1">
      <alignment horizontal="center"/>
    </xf>
  </cellXfs>
  <cellStyles count="2">
    <cellStyle name="Normale" xfId="0" builtinId="0"/>
    <cellStyle name="Valuta" xfId="1" builtinId="4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42" customWidth="1"/>
    <col min="2" max="2" width="18" customWidth="1"/>
    <col min="3" max="3" width="16" customWidth="1"/>
    <col min="4" max="4" width="62" customWidth="1"/>
  </cols>
  <sheetData>
    <row r="1" spans="1:5" ht="19" x14ac:dyDescent="0.25">
      <c r="A1" s="177" t="s">
        <v>0</v>
      </c>
      <c r="B1" s="178"/>
      <c r="C1" s="178"/>
      <c r="D1" s="178"/>
      <c r="E1" s="178"/>
    </row>
    <row r="2" spans="1:5" ht="16" x14ac:dyDescent="0.2">
      <c r="A2" s="162" t="s">
        <v>1</v>
      </c>
      <c r="B2" s="162" t="s">
        <v>2</v>
      </c>
      <c r="C2" s="162" t="s">
        <v>3</v>
      </c>
      <c r="D2" s="162" t="s">
        <v>4</v>
      </c>
      <c r="E2" s="163"/>
    </row>
    <row r="3" spans="1:5" ht="16" x14ac:dyDescent="0.2">
      <c r="A3" s="164" t="s">
        <v>5</v>
      </c>
      <c r="B3" s="165">
        <v>0.15</v>
      </c>
      <c r="C3" s="164" t="s">
        <v>6</v>
      </c>
      <c r="D3" s="164" t="s">
        <v>7</v>
      </c>
    </row>
    <row r="4" spans="1:5" ht="16" x14ac:dyDescent="0.2">
      <c r="A4" s="164" t="s">
        <v>8</v>
      </c>
      <c r="B4" s="165">
        <v>0.78</v>
      </c>
      <c r="C4" s="164" t="s">
        <v>9</v>
      </c>
      <c r="D4" s="164" t="s">
        <v>10</v>
      </c>
    </row>
    <row r="5" spans="1:5" ht="16" x14ac:dyDescent="0.2">
      <c r="A5" s="164" t="s">
        <v>11</v>
      </c>
      <c r="B5" s="165">
        <v>0.26069999999999999</v>
      </c>
      <c r="C5" s="164" t="s">
        <v>12</v>
      </c>
      <c r="D5" s="164" t="s">
        <v>13</v>
      </c>
    </row>
    <row r="6" spans="1:5" ht="16" x14ac:dyDescent="0.2">
      <c r="A6" s="164" t="s">
        <v>14</v>
      </c>
      <c r="B6" s="165">
        <f>B4*(B3+B5)</f>
        <v>0.32034599999999996</v>
      </c>
      <c r="C6" s="164" t="s">
        <v>15</v>
      </c>
      <c r="D6" s="164" t="s">
        <v>16</v>
      </c>
    </row>
    <row r="7" spans="1:5" ht="16" x14ac:dyDescent="0.2">
      <c r="A7" s="164" t="s">
        <v>17</v>
      </c>
      <c r="B7" s="165">
        <v>0.01</v>
      </c>
      <c r="C7" s="164" t="s">
        <v>18</v>
      </c>
      <c r="D7" s="164" t="s">
        <v>19</v>
      </c>
    </row>
    <row r="8" spans="1:5" ht="16" x14ac:dyDescent="0.2">
      <c r="A8" s="164" t="s">
        <v>20</v>
      </c>
      <c r="B8" s="165">
        <f>B6+B7</f>
        <v>0.33034599999999997</v>
      </c>
      <c r="C8" s="164" t="s">
        <v>21</v>
      </c>
      <c r="D8" s="164" t="s">
        <v>22</v>
      </c>
    </row>
    <row r="9" spans="1:5" ht="16" x14ac:dyDescent="0.2">
      <c r="A9" s="164" t="s">
        <v>23</v>
      </c>
      <c r="B9" s="165">
        <f>B8</f>
        <v>0.33034599999999997</v>
      </c>
      <c r="C9" s="164" t="s">
        <v>15</v>
      </c>
      <c r="D9" s="164" t="s">
        <v>24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5" width="16" customWidth="1"/>
    <col min="6" max="7" width="18" customWidth="1"/>
    <col min="8" max="8" width="20" customWidth="1"/>
  </cols>
  <sheetData>
    <row r="1" spans="1:8" ht="19" x14ac:dyDescent="0.25">
      <c r="A1" s="177" t="s">
        <v>25</v>
      </c>
      <c r="B1" s="178"/>
      <c r="C1" s="178"/>
      <c r="D1" s="178"/>
      <c r="E1" s="178"/>
      <c r="F1" s="178"/>
      <c r="G1" s="178"/>
      <c r="H1" s="178"/>
    </row>
    <row r="2" spans="1:8" ht="32" x14ac:dyDescent="0.2">
      <c r="A2" s="162" t="s">
        <v>26</v>
      </c>
      <c r="B2" s="162" t="s">
        <v>27</v>
      </c>
      <c r="C2" s="162" t="s">
        <v>28</v>
      </c>
      <c r="D2" s="162" t="s">
        <v>29</v>
      </c>
      <c r="E2" s="162" t="s">
        <v>30</v>
      </c>
      <c r="F2" s="162" t="s">
        <v>31</v>
      </c>
      <c r="G2" s="162" t="s">
        <v>32</v>
      </c>
      <c r="H2" s="162" t="s">
        <v>33</v>
      </c>
    </row>
    <row r="3" spans="1:8" x14ac:dyDescent="0.2">
      <c r="A3" s="164">
        <v>2020</v>
      </c>
      <c r="B3" s="166">
        <v>7380</v>
      </c>
      <c r="C3" s="166">
        <v>5756</v>
      </c>
      <c r="D3" s="164"/>
      <c r="E3" s="166">
        <v>5756</v>
      </c>
      <c r="F3" s="166">
        <v>288</v>
      </c>
      <c r="G3" s="166">
        <v>0</v>
      </c>
      <c r="H3" s="166">
        <v>288</v>
      </c>
    </row>
    <row r="4" spans="1:8" x14ac:dyDescent="0.2">
      <c r="A4" s="164">
        <v>2021</v>
      </c>
      <c r="B4" s="166">
        <v>37737</v>
      </c>
      <c r="C4" s="166">
        <v>29435</v>
      </c>
      <c r="D4" s="166">
        <v>1196</v>
      </c>
      <c r="E4" s="166">
        <v>28837</v>
      </c>
      <c r="F4" s="166">
        <v>1442</v>
      </c>
      <c r="G4" s="166">
        <v>288</v>
      </c>
      <c r="H4" s="166">
        <v>1154</v>
      </c>
    </row>
    <row r="5" spans="1:8" x14ac:dyDescent="0.2">
      <c r="A5" s="164">
        <v>2022</v>
      </c>
      <c r="B5" s="166">
        <v>48264</v>
      </c>
      <c r="C5" s="166">
        <v>37646</v>
      </c>
      <c r="D5" s="166">
        <v>0</v>
      </c>
      <c r="E5" s="166">
        <v>37646</v>
      </c>
      <c r="F5" s="166">
        <v>1882</v>
      </c>
      <c r="G5" s="166">
        <v>1442</v>
      </c>
      <c r="H5" s="166">
        <v>440</v>
      </c>
    </row>
    <row r="6" spans="1:8" x14ac:dyDescent="0.2">
      <c r="A6" s="164">
        <v>2023</v>
      </c>
      <c r="B6" s="166">
        <v>41646</v>
      </c>
      <c r="C6" s="166">
        <v>32484</v>
      </c>
      <c r="D6" s="166">
        <v>11598</v>
      </c>
      <c r="E6" s="166">
        <v>20886</v>
      </c>
      <c r="F6" s="166">
        <v>1044</v>
      </c>
      <c r="G6" s="166">
        <v>1882</v>
      </c>
      <c r="H6" s="166">
        <v>-838</v>
      </c>
    </row>
    <row r="7" spans="1:8" x14ac:dyDescent="0.2">
      <c r="A7" s="164">
        <v>2024</v>
      </c>
      <c r="B7" s="164"/>
      <c r="C7" s="164"/>
      <c r="D7" s="164"/>
      <c r="E7" s="164"/>
      <c r="F7" s="166">
        <v>1191</v>
      </c>
      <c r="G7" s="166">
        <v>1044</v>
      </c>
      <c r="H7" s="166">
        <v>147</v>
      </c>
    </row>
    <row r="8" spans="1:8" x14ac:dyDescent="0.2">
      <c r="A8" s="163"/>
      <c r="B8" s="163"/>
      <c r="C8" s="163"/>
      <c r="D8" s="163"/>
      <c r="E8" s="163"/>
      <c r="F8" s="163"/>
      <c r="G8" s="163"/>
      <c r="H8" s="163"/>
    </row>
    <row r="9" spans="1:8" ht="16" x14ac:dyDescent="0.2">
      <c r="A9" s="164" t="s">
        <v>34</v>
      </c>
      <c r="B9" s="164" t="s">
        <v>35</v>
      </c>
      <c r="C9" s="164" t="s">
        <v>36</v>
      </c>
      <c r="D9" s="164" t="s">
        <v>37</v>
      </c>
      <c r="E9" s="164" t="s">
        <v>38</v>
      </c>
      <c r="F9" s="164" t="s">
        <v>39</v>
      </c>
      <c r="G9" s="164" t="s">
        <v>40</v>
      </c>
      <c r="H9" s="164" t="s">
        <v>41</v>
      </c>
    </row>
    <row r="10" spans="1:8" ht="16" x14ac:dyDescent="0.2">
      <c r="A10" s="164">
        <v>2024</v>
      </c>
      <c r="B10" s="166">
        <v>-838</v>
      </c>
      <c r="C10" s="166">
        <v>522</v>
      </c>
      <c r="D10" s="166">
        <v>522</v>
      </c>
      <c r="E10" s="166">
        <v>621</v>
      </c>
      <c r="F10" s="166">
        <v>3387.6</v>
      </c>
      <c r="G10" s="166">
        <v>3387.6</v>
      </c>
      <c r="H10" s="166">
        <f>SUM(B10:G10)</f>
        <v>7602.2000000000007</v>
      </c>
    </row>
    <row r="11" spans="1:8" x14ac:dyDescent="0.2">
      <c r="A11">
        <v>2025</v>
      </c>
      <c r="B11" s="167">
        <v>147</v>
      </c>
      <c r="C11" s="167">
        <v>595.5</v>
      </c>
      <c r="D11" s="167">
        <v>595.5</v>
      </c>
      <c r="E11" s="167">
        <v>1364</v>
      </c>
      <c r="F11" s="167">
        <v>3255.6</v>
      </c>
      <c r="G11" s="167">
        <v>3255.6</v>
      </c>
      <c r="H11" s="167">
        <f>SUM(B11:G11)</f>
        <v>9213.2000000000007</v>
      </c>
    </row>
    <row r="12" spans="1:8" x14ac:dyDescent="0.2">
      <c r="A12" s="168"/>
      <c r="B12" s="168"/>
      <c r="C12" s="168"/>
      <c r="D12" s="168"/>
      <c r="E12" s="168"/>
      <c r="F12" s="168"/>
      <c r="G12" s="168"/>
      <c r="H12" s="168"/>
    </row>
    <row r="13" spans="1:8" ht="16" x14ac:dyDescent="0.2">
      <c r="A13" s="164" t="s">
        <v>42</v>
      </c>
      <c r="B13" s="164" t="s">
        <v>43</v>
      </c>
      <c r="C13" s="164" t="s">
        <v>44</v>
      </c>
      <c r="D13" s="164" t="s">
        <v>45</v>
      </c>
      <c r="E13" s="164" t="s">
        <v>46</v>
      </c>
    </row>
    <row r="14" spans="1:8" ht="16" x14ac:dyDescent="0.2">
      <c r="A14" s="164" t="s">
        <v>47</v>
      </c>
      <c r="B14" s="166">
        <f>'Imposte e Tasse'!AG42</f>
        <v>9354.2000000000007</v>
      </c>
      <c r="C14" s="166">
        <f>H10</f>
        <v>7602.2000000000007</v>
      </c>
      <c r="D14" s="166">
        <f>B14-C14</f>
        <v>1752</v>
      </c>
      <c r="E14" s="166" t="str">
        <f>IF(ABS(D14)&lt;0.01,"OK","DA VERIFICARE")</f>
        <v>DA VERIFICARE</v>
      </c>
    </row>
    <row r="15" spans="1:8" x14ac:dyDescent="0.2">
      <c r="A15" t="s">
        <v>48</v>
      </c>
      <c r="B15" s="167">
        <f>'Imposte e Tasse'!AN42</f>
        <v>7724.2</v>
      </c>
      <c r="C15" s="167">
        <f>H11</f>
        <v>9213.2000000000007</v>
      </c>
      <c r="D15" s="167">
        <f>B15-C15</f>
        <v>-1489.0000000000009</v>
      </c>
      <c r="E15" s="167" t="str">
        <f>IF(ABS(D15)&lt;0.01,"OK","DA VERIFICARE")</f>
        <v>DA VERIFICARE</v>
      </c>
    </row>
    <row r="17" spans="1:8" ht="16" x14ac:dyDescent="0.2">
      <c r="A17" s="169" t="s">
        <v>49</v>
      </c>
      <c r="B17" s="169" t="s">
        <v>50</v>
      </c>
      <c r="C17" s="169" t="s">
        <v>51</v>
      </c>
      <c r="D17" s="170"/>
      <c r="E17" s="170"/>
      <c r="F17" s="170"/>
      <c r="G17" s="170"/>
      <c r="H17" s="170"/>
    </row>
    <row r="18" spans="1:8" ht="16" x14ac:dyDescent="0.2">
      <c r="A18" s="164" t="s">
        <v>52</v>
      </c>
      <c r="B18" s="166">
        <f>SUMIFS(Fatturazioni!$Z$8:$Z$94,Fatturazioni!$A$8:$A$94,"&gt;="&amp;DATE(B17,1,1),Fatturazioni!$A$8:$A$94,"&lt;"&amp;DATE(B17+1,1,1))</f>
        <v>36666.58</v>
      </c>
      <c r="C18" s="166">
        <f>SUMIFS(Fatturazioni!$Z$8:$Z$94,Fatturazioni!$A$8:$A$94,"&gt;="&amp;DATE(C17,1,1),Fatturazioni!$A$8:$A$94,"&lt;"&amp;DATE(C17+1,1,1))</f>
        <v>0</v>
      </c>
    </row>
    <row r="19" spans="1:8" ht="16" x14ac:dyDescent="0.2">
      <c r="A19" s="164" t="s">
        <v>53</v>
      </c>
      <c r="B19" s="166">
        <f>B18*'Parametri fiscali'!$B$6</f>
        <v>11745.99223668</v>
      </c>
      <c r="C19" s="166">
        <f>C18*'Parametri fiscali'!$B$6</f>
        <v>0</v>
      </c>
    </row>
    <row r="20" spans="1:8" ht="16" x14ac:dyDescent="0.2">
      <c r="A20" s="164" t="s">
        <v>54</v>
      </c>
      <c r="B20" s="166">
        <f>B18*'Parametri fiscali'!$B$8</f>
        <v>12112.658036679999</v>
      </c>
      <c r="C20" s="166">
        <f>C18*'Parametri fiscali'!$B$8</f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95"/>
  <sheetViews>
    <sheetView tabSelected="1" zoomScaleNormal="100" zoomScaleSheetLayoutView="100" workbookViewId="0">
      <pane xSplit="1" ySplit="3" topLeftCell="V57" activePane="bottomRight" state="frozen"/>
      <selection pane="topRight"/>
      <selection pane="bottomLeft"/>
      <selection pane="bottomRight" activeCell="AG66" sqref="AG66:AG70"/>
    </sheetView>
  </sheetViews>
  <sheetFormatPr baseColWidth="10" defaultColWidth="8.83203125" defaultRowHeight="15" x14ac:dyDescent="0.2"/>
  <cols>
    <col min="1" max="1" width="14.5" style="9" bestFit="1" customWidth="1"/>
    <col min="2" max="2" width="13.5" style="9" hidden="1" customWidth="1"/>
    <col min="3" max="3" width="11.6640625" style="9" hidden="1" customWidth="1"/>
    <col min="4" max="4" width="13.5" style="9" hidden="1" customWidth="1"/>
    <col min="5" max="5" width="11.6640625" style="9" hidden="1" customWidth="1"/>
    <col min="6" max="7" width="13.5" style="9" hidden="1" customWidth="1"/>
    <col min="8" max="8" width="11.6640625" style="9" hidden="1" customWidth="1"/>
    <col min="9" max="11" width="13" style="9" hidden="1" customWidth="1"/>
    <col min="12" max="13" width="11.6640625" style="9" hidden="1" customWidth="1"/>
    <col min="14" max="16" width="13" style="9" hidden="1" customWidth="1"/>
    <col min="17" max="18" width="11.6640625" style="9" hidden="1" customWidth="1"/>
    <col min="19" max="23" width="13" style="9" customWidth="1"/>
    <col min="24" max="25" width="11.6640625" style="9" customWidth="1"/>
    <col min="26" max="26" width="10" style="9" customWidth="1"/>
    <col min="27" max="28" width="8.5" style="9" customWidth="1"/>
    <col min="29" max="29" width="11.6640625" style="1" customWidth="1"/>
    <col min="30" max="30" width="7.6640625" style="9" bestFit="1" customWidth="1"/>
    <col min="31" max="31" width="9.33203125" style="9" customWidth="1"/>
    <col min="32" max="32" width="10" style="17" customWidth="1"/>
    <col min="33" max="33" width="14" style="1" customWidth="1"/>
    <col min="34" max="34" width="14" style="9" customWidth="1"/>
    <col min="35" max="35" width="14" customWidth="1"/>
    <col min="36" max="36" width="14" style="17" customWidth="1"/>
    <col min="37" max="37" width="10" style="17" bestFit="1" customWidth="1"/>
    <col min="38" max="38" width="12" style="9" bestFit="1" customWidth="1"/>
    <col min="39" max="39" width="8.83203125" style="9" customWidth="1"/>
    <col min="40" max="16384" width="8.83203125" style="9"/>
  </cols>
  <sheetData>
    <row r="1" spans="1:40" ht="15" customHeight="1" x14ac:dyDescent="0.2">
      <c r="A1" s="195"/>
      <c r="B1" s="188" t="s">
        <v>55</v>
      </c>
      <c r="C1" s="183"/>
      <c r="D1" s="183"/>
      <c r="E1" s="183"/>
      <c r="F1" s="183"/>
      <c r="G1" s="183"/>
      <c r="H1" s="184"/>
      <c r="I1" s="188" t="s">
        <v>56</v>
      </c>
      <c r="J1" s="183"/>
      <c r="K1" s="183"/>
      <c r="L1" s="183"/>
      <c r="M1" s="184"/>
      <c r="N1" s="192" t="s">
        <v>57</v>
      </c>
      <c r="O1" s="183"/>
      <c r="P1" s="183"/>
      <c r="Q1" s="183"/>
      <c r="R1" s="184"/>
      <c r="S1" s="196" t="s">
        <v>58</v>
      </c>
      <c r="T1" s="183"/>
      <c r="U1" s="183"/>
      <c r="V1" s="183"/>
      <c r="W1" s="183"/>
      <c r="X1" s="183"/>
      <c r="Y1" s="197"/>
      <c r="Z1" s="179" t="s">
        <v>59</v>
      </c>
      <c r="AA1" s="182" t="s">
        <v>60</v>
      </c>
      <c r="AB1" s="183"/>
      <c r="AC1" s="183"/>
      <c r="AD1" s="183"/>
      <c r="AE1" s="183"/>
      <c r="AF1" s="184"/>
      <c r="AG1" s="193" t="s">
        <v>61</v>
      </c>
      <c r="AH1" s="183"/>
      <c r="AI1" s="183"/>
      <c r="AJ1" s="184"/>
      <c r="AK1" s="9"/>
      <c r="AL1" s="8">
        <v>180</v>
      </c>
      <c r="AM1" s="10">
        <v>14</v>
      </c>
      <c r="AN1" s="8">
        <v>300</v>
      </c>
    </row>
    <row r="2" spans="1:40" ht="19" customHeight="1" x14ac:dyDescent="0.2">
      <c r="A2" s="181"/>
      <c r="B2" s="185"/>
      <c r="C2" s="186"/>
      <c r="D2" s="186"/>
      <c r="E2" s="186"/>
      <c r="F2" s="186"/>
      <c r="G2" s="186"/>
      <c r="H2" s="187"/>
      <c r="I2" s="185"/>
      <c r="J2" s="186"/>
      <c r="K2" s="186"/>
      <c r="L2" s="186"/>
      <c r="M2" s="187"/>
      <c r="N2" s="185"/>
      <c r="O2" s="186"/>
      <c r="P2" s="186"/>
      <c r="Q2" s="186"/>
      <c r="R2" s="187"/>
      <c r="S2" s="185"/>
      <c r="T2" s="186"/>
      <c r="U2" s="186"/>
      <c r="V2" s="186"/>
      <c r="W2" s="186"/>
      <c r="X2" s="186"/>
      <c r="Y2" s="198"/>
      <c r="Z2" s="180"/>
      <c r="AA2" s="185"/>
      <c r="AB2" s="186"/>
      <c r="AC2" s="186"/>
      <c r="AD2" s="186"/>
      <c r="AE2" s="186"/>
      <c r="AF2" s="187"/>
      <c r="AG2" s="194"/>
      <c r="AH2" s="186"/>
      <c r="AI2" s="186"/>
      <c r="AJ2" s="187"/>
      <c r="AK2" s="9"/>
    </row>
    <row r="3" spans="1:40" s="2" customFormat="1" ht="30" customHeight="1" x14ac:dyDescent="0.2">
      <c r="A3" s="5" t="s">
        <v>62</v>
      </c>
      <c r="B3" s="4" t="s">
        <v>63</v>
      </c>
      <c r="C3" s="7" t="s">
        <v>64</v>
      </c>
      <c r="D3" s="7" t="s">
        <v>65</v>
      </c>
      <c r="E3" s="7" t="s">
        <v>66</v>
      </c>
      <c r="F3" s="7" t="s">
        <v>67</v>
      </c>
      <c r="G3" s="7" t="s">
        <v>68</v>
      </c>
      <c r="H3" s="6" t="s">
        <v>69</v>
      </c>
      <c r="I3" s="4" t="s">
        <v>65</v>
      </c>
      <c r="J3" s="7" t="s">
        <v>66</v>
      </c>
      <c r="K3" s="7" t="s">
        <v>67</v>
      </c>
      <c r="L3" s="7" t="s">
        <v>68</v>
      </c>
      <c r="M3" s="6" t="s">
        <v>69</v>
      </c>
      <c r="N3" s="4" t="s">
        <v>65</v>
      </c>
      <c r="O3" s="7" t="s">
        <v>66</v>
      </c>
      <c r="P3" s="7" t="s">
        <v>67</v>
      </c>
      <c r="Q3" s="7" t="s">
        <v>68</v>
      </c>
      <c r="R3" s="6" t="s">
        <v>69</v>
      </c>
      <c r="S3" s="4" t="s">
        <v>63</v>
      </c>
      <c r="T3" s="7" t="s">
        <v>64</v>
      </c>
      <c r="U3" s="139" t="s">
        <v>65</v>
      </c>
      <c r="V3" s="7" t="s">
        <v>66</v>
      </c>
      <c r="W3" s="7" t="s">
        <v>67</v>
      </c>
      <c r="X3" s="7" t="s">
        <v>68</v>
      </c>
      <c r="Y3" s="6" t="s">
        <v>69</v>
      </c>
      <c r="Z3" s="181"/>
      <c r="AA3" s="4" t="s">
        <v>70</v>
      </c>
      <c r="AB3" s="7" t="s">
        <v>71</v>
      </c>
      <c r="AC3" s="7" t="s">
        <v>72</v>
      </c>
      <c r="AD3" s="7" t="s">
        <v>73</v>
      </c>
      <c r="AE3" s="7" t="s">
        <v>74</v>
      </c>
      <c r="AF3" s="6" t="s">
        <v>75</v>
      </c>
      <c r="AG3" s="7" t="s">
        <v>72</v>
      </c>
      <c r="AH3" s="7" t="s">
        <v>73</v>
      </c>
      <c r="AI3" s="7" t="s">
        <v>74</v>
      </c>
      <c r="AJ3" s="6" t="s">
        <v>75</v>
      </c>
      <c r="AK3" s="9"/>
      <c r="AL3" s="3"/>
    </row>
    <row r="4" spans="1:40" x14ac:dyDescent="0.2">
      <c r="A4" s="87" t="s">
        <v>76</v>
      </c>
      <c r="B4" s="88">
        <f>SUM(B8:B17)</f>
        <v>140</v>
      </c>
      <c r="C4" s="89">
        <v>140</v>
      </c>
      <c r="D4" s="90"/>
      <c r="E4" s="77">
        <f t="shared" ref="E4:E21" si="0">C4*$AL$1</f>
        <v>25200</v>
      </c>
      <c r="F4" s="79"/>
      <c r="G4" s="79"/>
      <c r="H4" s="80"/>
      <c r="I4" s="76"/>
      <c r="J4" s="77">
        <v>25200</v>
      </c>
      <c r="K4" s="78"/>
      <c r="L4" s="79"/>
      <c r="M4" s="80"/>
      <c r="N4" s="76"/>
      <c r="O4" s="77">
        <v>40000</v>
      </c>
      <c r="P4" s="78"/>
      <c r="Q4" s="79"/>
      <c r="R4" s="80"/>
      <c r="S4" s="132">
        <f>SUM(S73:S79)</f>
        <v>0</v>
      </c>
      <c r="T4" s="79">
        <v>97</v>
      </c>
      <c r="U4" s="140"/>
      <c r="V4" s="77">
        <v>29100</v>
      </c>
      <c r="W4" s="78"/>
      <c r="X4" s="79"/>
      <c r="Y4" s="80"/>
      <c r="Z4" s="91"/>
      <c r="AA4" s="76"/>
      <c r="AB4" s="79"/>
      <c r="AC4" s="79"/>
      <c r="AD4" s="79"/>
      <c r="AE4" s="79"/>
      <c r="AF4" s="92"/>
      <c r="AG4" s="79"/>
      <c r="AH4" s="79"/>
      <c r="AI4" s="79"/>
      <c r="AJ4" s="92"/>
      <c r="AK4" s="9"/>
    </row>
    <row r="5" spans="1:40" x14ac:dyDescent="0.2">
      <c r="A5" s="87" t="s">
        <v>77</v>
      </c>
      <c r="B5" s="88">
        <v>48</v>
      </c>
      <c r="C5" s="89">
        <v>48</v>
      </c>
      <c r="D5" s="90"/>
      <c r="E5" s="77">
        <f t="shared" si="0"/>
        <v>8640</v>
      </c>
      <c r="F5" s="78"/>
      <c r="G5" s="79"/>
      <c r="H5" s="80"/>
      <c r="I5" s="81"/>
      <c r="J5" s="77"/>
      <c r="K5" s="78"/>
      <c r="L5" s="79"/>
      <c r="M5" s="80"/>
      <c r="N5" s="81"/>
      <c r="O5" s="77"/>
      <c r="P5" s="78"/>
      <c r="Q5" s="79"/>
      <c r="R5" s="80"/>
      <c r="S5" s="136"/>
      <c r="T5" s="90"/>
      <c r="U5" s="141"/>
      <c r="V5" s="77"/>
      <c r="W5" s="78"/>
      <c r="X5" s="79"/>
      <c r="Y5" s="80"/>
      <c r="Z5" s="91"/>
      <c r="AA5" s="76"/>
      <c r="AB5" s="79"/>
      <c r="AC5" s="79"/>
      <c r="AD5" s="79"/>
      <c r="AE5" s="79"/>
      <c r="AF5" s="92"/>
      <c r="AG5" s="79"/>
      <c r="AH5" s="79"/>
      <c r="AI5" s="79"/>
      <c r="AJ5" s="92"/>
      <c r="AK5" s="9"/>
    </row>
    <row r="6" spans="1:40" x14ac:dyDescent="0.2">
      <c r="A6" s="87" t="s">
        <v>78</v>
      </c>
      <c r="B6" s="88">
        <v>165</v>
      </c>
      <c r="C6" s="89">
        <v>165</v>
      </c>
      <c r="D6" s="90"/>
      <c r="E6" s="77">
        <f t="shared" si="0"/>
        <v>29700</v>
      </c>
      <c r="F6" s="78"/>
      <c r="G6" s="79"/>
      <c r="H6" s="80"/>
      <c r="I6" s="81"/>
      <c r="J6" s="77"/>
      <c r="K6" s="78"/>
      <c r="L6" s="79"/>
      <c r="M6" s="80"/>
      <c r="N6" s="81"/>
      <c r="O6" s="77"/>
      <c r="P6" s="78"/>
      <c r="Q6" s="79"/>
      <c r="R6" s="80"/>
      <c r="S6" s="136"/>
      <c r="T6" s="90"/>
      <c r="U6" s="141"/>
      <c r="V6" s="77"/>
      <c r="W6" s="78"/>
      <c r="X6" s="79"/>
      <c r="Y6" s="80"/>
      <c r="Z6" s="91"/>
      <c r="AA6" s="76"/>
      <c r="AB6" s="79"/>
      <c r="AC6" s="79"/>
      <c r="AD6" s="79"/>
      <c r="AE6" s="79"/>
      <c r="AF6" s="92"/>
      <c r="AG6" s="79"/>
      <c r="AH6" s="79"/>
      <c r="AI6" s="79"/>
      <c r="AJ6" s="92"/>
      <c r="AK6" s="9"/>
    </row>
    <row r="7" spans="1:40" x14ac:dyDescent="0.2">
      <c r="A7" s="87" t="s">
        <v>79</v>
      </c>
      <c r="B7" s="88">
        <v>3</v>
      </c>
      <c r="C7" s="89">
        <v>3</v>
      </c>
      <c r="D7" s="90"/>
      <c r="E7" s="77">
        <f t="shared" si="0"/>
        <v>540</v>
      </c>
      <c r="F7" s="78"/>
      <c r="G7" s="79"/>
      <c r="H7" s="80"/>
      <c r="I7" s="81"/>
      <c r="J7" s="77"/>
      <c r="K7" s="78"/>
      <c r="L7" s="79"/>
      <c r="M7" s="80"/>
      <c r="N7" s="81"/>
      <c r="O7" s="77"/>
      <c r="P7" s="78"/>
      <c r="Q7" s="79"/>
      <c r="R7" s="80"/>
      <c r="S7" s="136"/>
      <c r="T7" s="90"/>
      <c r="U7" s="141"/>
      <c r="V7" s="77"/>
      <c r="W7" s="78"/>
      <c r="X7" s="79"/>
      <c r="Y7" s="80"/>
      <c r="Z7" s="91"/>
      <c r="AA7" s="76"/>
      <c r="AB7" s="79"/>
      <c r="AC7" s="79"/>
      <c r="AD7" s="79"/>
      <c r="AE7" s="79"/>
      <c r="AF7" s="92"/>
      <c r="AG7" s="79"/>
      <c r="AH7" s="79"/>
      <c r="AI7" s="79"/>
      <c r="AJ7" s="92"/>
      <c r="AK7" s="9"/>
    </row>
    <row r="8" spans="1:40" x14ac:dyDescent="0.2">
      <c r="A8" s="11">
        <v>44075</v>
      </c>
      <c r="B8" s="12">
        <v>5</v>
      </c>
      <c r="C8" s="13">
        <f>C4-B8</f>
        <v>135</v>
      </c>
      <c r="D8" s="23">
        <f t="shared" ref="D8:D34" si="1">B8*$AL$1</f>
        <v>900</v>
      </c>
      <c r="E8" s="57">
        <f t="shared" si="0"/>
        <v>24300</v>
      </c>
      <c r="F8" s="57">
        <f>D8</f>
        <v>900</v>
      </c>
      <c r="G8" s="14">
        <v>44112</v>
      </c>
      <c r="H8" s="15">
        <v>44145</v>
      </c>
      <c r="I8" s="82"/>
      <c r="J8" s="83"/>
      <c r="K8" s="83"/>
      <c r="L8" s="84"/>
      <c r="M8" s="85"/>
      <c r="N8" s="82"/>
      <c r="O8" s="83"/>
      <c r="P8" s="83"/>
      <c r="Q8" s="84"/>
      <c r="R8" s="85"/>
      <c r="S8" s="137"/>
      <c r="T8" s="83"/>
      <c r="U8" s="142"/>
      <c r="V8" s="83"/>
      <c r="W8" s="83"/>
      <c r="X8" s="84"/>
      <c r="Y8" s="85"/>
      <c r="Z8" s="25">
        <f t="shared" ref="Z8:Z34" si="2">D8+I8</f>
        <v>900</v>
      </c>
      <c r="AA8" s="26">
        <f>((Z8*78%)*5%)+((Z8*78%)*25.72%)</f>
        <v>215.65439999999998</v>
      </c>
      <c r="AB8" s="27">
        <f t="shared" ref="AB8:AB39" si="3">AA8*41.97%</f>
        <v>90.510151679999979</v>
      </c>
      <c r="AC8" s="27">
        <f t="shared" ref="AC8:AC39" si="4">AA8+AB8</f>
        <v>306.16455167999993</v>
      </c>
      <c r="AD8" s="27">
        <f>AC8</f>
        <v>306.16455167999993</v>
      </c>
      <c r="AE8" s="38">
        <v>1E-3</v>
      </c>
      <c r="AF8" s="29">
        <f>AD8-AE8</f>
        <v>306.16355167999996</v>
      </c>
      <c r="AG8" s="121"/>
      <c r="AH8" s="121"/>
      <c r="AI8" s="124"/>
      <c r="AJ8" s="125"/>
      <c r="AK8" s="9"/>
    </row>
    <row r="9" spans="1:40" x14ac:dyDescent="0.2">
      <c r="A9" s="11">
        <v>44105</v>
      </c>
      <c r="B9" s="12">
        <v>19</v>
      </c>
      <c r="C9" s="13">
        <f t="shared" ref="C9:C17" si="5">C8-B9</f>
        <v>116</v>
      </c>
      <c r="D9" s="23">
        <f t="shared" si="1"/>
        <v>3420</v>
      </c>
      <c r="E9" s="57">
        <f t="shared" si="0"/>
        <v>20880</v>
      </c>
      <c r="F9" s="57">
        <f t="shared" ref="F9:F21" si="6">D9+F8</f>
        <v>4320</v>
      </c>
      <c r="G9" s="14">
        <v>44141</v>
      </c>
      <c r="H9" s="15">
        <v>44180</v>
      </c>
      <c r="I9" s="82"/>
      <c r="J9" s="83"/>
      <c r="K9" s="83"/>
      <c r="L9" s="84"/>
      <c r="M9" s="85"/>
      <c r="N9" s="82"/>
      <c r="O9" s="83"/>
      <c r="P9" s="83"/>
      <c r="Q9" s="84"/>
      <c r="R9" s="85"/>
      <c r="S9" s="137"/>
      <c r="T9" s="83"/>
      <c r="U9" s="142"/>
      <c r="V9" s="83"/>
      <c r="W9" s="83"/>
      <c r="X9" s="84"/>
      <c r="Y9" s="85"/>
      <c r="Z9" s="25">
        <f t="shared" si="2"/>
        <v>3420</v>
      </c>
      <c r="AA9" s="26">
        <f>((Z9*78%)*5%)+((Z9*78%)*25.72%)</f>
        <v>819.48671999999988</v>
      </c>
      <c r="AB9" s="27">
        <f t="shared" si="3"/>
        <v>343.93857638399993</v>
      </c>
      <c r="AC9" s="27">
        <f t="shared" si="4"/>
        <v>1163.4252963839999</v>
      </c>
      <c r="AD9" s="27">
        <f t="shared" ref="AD9:AD40" si="7">AD8+AC9</f>
        <v>1469.5898480639999</v>
      </c>
      <c r="AE9" s="37">
        <v>1035.1400000000001</v>
      </c>
      <c r="AF9" s="30">
        <f t="shared" ref="AF9:AF40" si="8">AF8+AC9-AE9</f>
        <v>434.44884806399978</v>
      </c>
      <c r="AG9" s="121"/>
      <c r="AH9" s="121"/>
      <c r="AI9" s="126"/>
      <c r="AJ9" s="123"/>
      <c r="AK9" s="9"/>
    </row>
    <row r="10" spans="1:40" x14ac:dyDescent="0.2">
      <c r="A10" s="11">
        <v>44136</v>
      </c>
      <c r="B10" s="12">
        <v>17</v>
      </c>
      <c r="C10" s="13">
        <f t="shared" si="5"/>
        <v>99</v>
      </c>
      <c r="D10" s="23">
        <f t="shared" si="1"/>
        <v>3060</v>
      </c>
      <c r="E10" s="57">
        <f t="shared" si="0"/>
        <v>17820</v>
      </c>
      <c r="F10" s="57">
        <f t="shared" si="6"/>
        <v>7380</v>
      </c>
      <c r="G10" s="14">
        <v>44169</v>
      </c>
      <c r="H10" s="15">
        <v>44196</v>
      </c>
      <c r="I10" s="82"/>
      <c r="J10" s="83"/>
      <c r="K10" s="83"/>
      <c r="L10" s="84"/>
      <c r="M10" s="85"/>
      <c r="N10" s="82"/>
      <c r="O10" s="83"/>
      <c r="P10" s="83"/>
      <c r="Q10" s="84"/>
      <c r="R10" s="85"/>
      <c r="S10" s="137"/>
      <c r="T10" s="83"/>
      <c r="U10" s="142"/>
      <c r="V10" s="83"/>
      <c r="W10" s="83"/>
      <c r="X10" s="84"/>
      <c r="Y10" s="85"/>
      <c r="Z10" s="25">
        <f t="shared" si="2"/>
        <v>3060</v>
      </c>
      <c r="AA10" s="26">
        <f>((Z10*78%)*5%)+((Z10*78%)*25.72%)</f>
        <v>733.22496000000001</v>
      </c>
      <c r="AB10" s="27">
        <f t="shared" si="3"/>
        <v>307.73451571199996</v>
      </c>
      <c r="AC10" s="27">
        <f t="shared" si="4"/>
        <v>1040.9594757119999</v>
      </c>
      <c r="AD10" s="27">
        <f t="shared" si="7"/>
        <v>2510.5493237759997</v>
      </c>
      <c r="AE10" s="28">
        <v>733.23</v>
      </c>
      <c r="AF10" s="30">
        <f t="shared" si="8"/>
        <v>742.17832377599962</v>
      </c>
      <c r="AG10" s="121"/>
      <c r="AH10" s="121"/>
      <c r="AI10" s="122"/>
      <c r="AJ10" s="123"/>
      <c r="AK10" s="9"/>
    </row>
    <row r="11" spans="1:40" x14ac:dyDescent="0.2">
      <c r="A11" s="11">
        <v>44166</v>
      </c>
      <c r="B11" s="12">
        <v>15</v>
      </c>
      <c r="C11" s="13">
        <f t="shared" si="5"/>
        <v>84</v>
      </c>
      <c r="D11" s="23">
        <f t="shared" si="1"/>
        <v>2700</v>
      </c>
      <c r="E11" s="57">
        <f t="shared" si="0"/>
        <v>15120</v>
      </c>
      <c r="F11" s="57">
        <f t="shared" si="6"/>
        <v>10080</v>
      </c>
      <c r="G11" s="14">
        <v>44214</v>
      </c>
      <c r="H11" s="15">
        <v>44229</v>
      </c>
      <c r="I11" s="82"/>
      <c r="J11" s="83"/>
      <c r="K11" s="83"/>
      <c r="L11" s="84"/>
      <c r="M11" s="85"/>
      <c r="N11" s="82"/>
      <c r="O11" s="83"/>
      <c r="P11" s="83"/>
      <c r="Q11" s="84"/>
      <c r="R11" s="85"/>
      <c r="S11" s="137"/>
      <c r="T11" s="83"/>
      <c r="U11" s="142"/>
      <c r="V11" s="83"/>
      <c r="W11" s="83"/>
      <c r="X11" s="84"/>
      <c r="Y11" s="85"/>
      <c r="Z11" s="25">
        <f t="shared" si="2"/>
        <v>2700</v>
      </c>
      <c r="AA11" s="26">
        <f>((Z11*78%)*5%)+((Z11*78%)*25.72%)</f>
        <v>646.96319999999992</v>
      </c>
      <c r="AB11" s="27">
        <f t="shared" si="3"/>
        <v>271.53045503999994</v>
      </c>
      <c r="AC11" s="27">
        <f t="shared" si="4"/>
        <v>918.49365503999979</v>
      </c>
      <c r="AD11" s="27">
        <f t="shared" si="7"/>
        <v>3429.0429788159995</v>
      </c>
      <c r="AE11" s="28">
        <v>646.96</v>
      </c>
      <c r="AF11" s="30">
        <f t="shared" si="8"/>
        <v>1013.7119788159994</v>
      </c>
      <c r="AG11" s="121"/>
      <c r="AH11" s="121"/>
      <c r="AI11" s="122"/>
      <c r="AJ11" s="123"/>
      <c r="AK11" s="9"/>
    </row>
    <row r="12" spans="1:40" x14ac:dyDescent="0.2">
      <c r="A12" s="16">
        <v>44197</v>
      </c>
      <c r="B12" s="12">
        <v>11</v>
      </c>
      <c r="C12" s="13">
        <f t="shared" si="5"/>
        <v>73</v>
      </c>
      <c r="D12" s="23">
        <f t="shared" si="1"/>
        <v>1980</v>
      </c>
      <c r="E12" s="57">
        <f t="shared" si="0"/>
        <v>13140</v>
      </c>
      <c r="F12" s="57">
        <f t="shared" si="6"/>
        <v>12060</v>
      </c>
      <c r="G12" s="14">
        <v>44239</v>
      </c>
      <c r="H12" s="15">
        <v>44249</v>
      </c>
      <c r="I12" s="82"/>
      <c r="J12" s="83"/>
      <c r="K12" s="83"/>
      <c r="L12" s="84"/>
      <c r="M12" s="85"/>
      <c r="N12" s="82"/>
      <c r="O12" s="83"/>
      <c r="P12" s="83"/>
      <c r="Q12" s="84"/>
      <c r="R12" s="85"/>
      <c r="S12" s="137"/>
      <c r="T12" s="83"/>
      <c r="U12" s="142"/>
      <c r="V12" s="83"/>
      <c r="W12" s="83"/>
      <c r="X12" s="84"/>
      <c r="Y12" s="85"/>
      <c r="Z12" s="31">
        <f t="shared" si="2"/>
        <v>1980</v>
      </c>
      <c r="AA12" s="32">
        <v>661</v>
      </c>
      <c r="AB12" s="33">
        <f t="shared" si="3"/>
        <v>277.42169999999999</v>
      </c>
      <c r="AC12" s="33">
        <f t="shared" si="4"/>
        <v>938.42169999999999</v>
      </c>
      <c r="AD12" s="33">
        <f t="shared" si="7"/>
        <v>4367.4646788159998</v>
      </c>
      <c r="AE12" s="28">
        <v>655.1</v>
      </c>
      <c r="AF12" s="30">
        <f t="shared" si="8"/>
        <v>1297.0336788159993</v>
      </c>
      <c r="AG12" s="127"/>
      <c r="AH12" s="127"/>
      <c r="AI12" s="122"/>
      <c r="AJ12" s="123"/>
      <c r="AK12" s="9"/>
    </row>
    <row r="13" spans="1:40" x14ac:dyDescent="0.2">
      <c r="A13" s="16">
        <v>44228</v>
      </c>
      <c r="B13" s="12">
        <v>19</v>
      </c>
      <c r="C13" s="13">
        <f t="shared" si="5"/>
        <v>54</v>
      </c>
      <c r="D13" s="23">
        <f t="shared" si="1"/>
        <v>3420</v>
      </c>
      <c r="E13" s="57">
        <f t="shared" si="0"/>
        <v>9720</v>
      </c>
      <c r="F13" s="57">
        <f t="shared" si="6"/>
        <v>15480</v>
      </c>
      <c r="G13" s="14">
        <v>44260</v>
      </c>
      <c r="H13" s="15">
        <v>44287</v>
      </c>
      <c r="I13" s="82"/>
      <c r="J13" s="83"/>
      <c r="K13" s="83"/>
      <c r="L13" s="84"/>
      <c r="M13" s="85"/>
      <c r="N13" s="82"/>
      <c r="O13" s="83"/>
      <c r="P13" s="83"/>
      <c r="Q13" s="84"/>
      <c r="R13" s="85"/>
      <c r="S13" s="137"/>
      <c r="T13" s="83"/>
      <c r="U13" s="142"/>
      <c r="V13" s="83"/>
      <c r="W13" s="83"/>
      <c r="X13" s="84"/>
      <c r="Y13" s="85"/>
      <c r="Z13" s="31">
        <f t="shared" si="2"/>
        <v>3420</v>
      </c>
      <c r="AA13" s="32">
        <v>1105</v>
      </c>
      <c r="AB13" s="33">
        <f t="shared" si="3"/>
        <v>463.76849999999996</v>
      </c>
      <c r="AC13" s="33">
        <f t="shared" si="4"/>
        <v>1568.7684999999999</v>
      </c>
      <c r="AD13" s="33">
        <f t="shared" si="7"/>
        <v>5936.233178816</v>
      </c>
      <c r="AE13" s="28">
        <v>1096.1300000000001</v>
      </c>
      <c r="AF13" s="30">
        <f t="shared" si="8"/>
        <v>1769.6721788159994</v>
      </c>
      <c r="AG13" s="127"/>
      <c r="AH13" s="127"/>
      <c r="AI13" s="122"/>
      <c r="AJ13" s="123"/>
      <c r="AK13" s="9"/>
    </row>
    <row r="14" spans="1:40" x14ac:dyDescent="0.2">
      <c r="A14" s="16">
        <v>44256</v>
      </c>
      <c r="B14" s="12">
        <v>14</v>
      </c>
      <c r="C14" s="13">
        <f t="shared" si="5"/>
        <v>40</v>
      </c>
      <c r="D14" s="23">
        <f t="shared" si="1"/>
        <v>2520</v>
      </c>
      <c r="E14" s="57">
        <f t="shared" si="0"/>
        <v>7200</v>
      </c>
      <c r="F14" s="57">
        <f t="shared" si="6"/>
        <v>18000</v>
      </c>
      <c r="G14" s="14">
        <v>44302</v>
      </c>
      <c r="H14" s="15">
        <v>44322</v>
      </c>
      <c r="I14" s="82"/>
      <c r="J14" s="83"/>
      <c r="K14" s="83"/>
      <c r="L14" s="84"/>
      <c r="M14" s="85"/>
      <c r="N14" s="82"/>
      <c r="O14" s="83"/>
      <c r="P14" s="83"/>
      <c r="Q14" s="84"/>
      <c r="R14" s="85"/>
      <c r="S14" s="137"/>
      <c r="T14" s="83"/>
      <c r="U14" s="142"/>
      <c r="V14" s="83"/>
      <c r="W14" s="83"/>
      <c r="X14" s="84"/>
      <c r="Y14" s="85"/>
      <c r="Z14" s="31">
        <f t="shared" si="2"/>
        <v>2520</v>
      </c>
      <c r="AA14" s="32">
        <f t="shared" ref="AA14:AA23" si="9">((Z14*78%)*5%)+((Z14*78%)*25.98%)</f>
        <v>608.94288000000006</v>
      </c>
      <c r="AB14" s="33">
        <f t="shared" si="3"/>
        <v>255.57332673600001</v>
      </c>
      <c r="AC14" s="33">
        <f t="shared" si="4"/>
        <v>864.51620673600007</v>
      </c>
      <c r="AD14" s="33">
        <f t="shared" si="7"/>
        <v>6800.7493855519997</v>
      </c>
      <c r="AE14" s="28">
        <v>603.83000000000004</v>
      </c>
      <c r="AF14" s="30">
        <f t="shared" si="8"/>
        <v>2030.3583855519996</v>
      </c>
      <c r="AG14" s="127"/>
      <c r="AH14" s="127"/>
      <c r="AI14" s="122"/>
      <c r="AJ14" s="123"/>
      <c r="AK14" s="9"/>
    </row>
    <row r="15" spans="1:40" x14ac:dyDescent="0.2">
      <c r="A15" s="16">
        <v>44287</v>
      </c>
      <c r="B15" s="12">
        <v>14</v>
      </c>
      <c r="C15" s="13">
        <f t="shared" si="5"/>
        <v>26</v>
      </c>
      <c r="D15" s="23">
        <f t="shared" si="1"/>
        <v>2520</v>
      </c>
      <c r="E15" s="57">
        <f t="shared" si="0"/>
        <v>4680</v>
      </c>
      <c r="F15" s="57">
        <f t="shared" si="6"/>
        <v>20520</v>
      </c>
      <c r="G15" s="14">
        <v>44320</v>
      </c>
      <c r="H15" s="15">
        <v>44354</v>
      </c>
      <c r="I15" s="82"/>
      <c r="J15" s="83"/>
      <c r="K15" s="83"/>
      <c r="L15" s="84"/>
      <c r="M15" s="85"/>
      <c r="N15" s="82"/>
      <c r="O15" s="83"/>
      <c r="P15" s="83"/>
      <c r="Q15" s="84"/>
      <c r="R15" s="85"/>
      <c r="S15" s="137"/>
      <c r="T15" s="83"/>
      <c r="U15" s="142"/>
      <c r="V15" s="83"/>
      <c r="W15" s="83"/>
      <c r="X15" s="84"/>
      <c r="Y15" s="85"/>
      <c r="Z15" s="31">
        <f t="shared" si="2"/>
        <v>2520</v>
      </c>
      <c r="AA15" s="32">
        <f t="shared" si="9"/>
        <v>608.94288000000006</v>
      </c>
      <c r="AB15" s="33">
        <f t="shared" si="3"/>
        <v>255.57332673600001</v>
      </c>
      <c r="AC15" s="33">
        <f t="shared" si="4"/>
        <v>864.51620673600007</v>
      </c>
      <c r="AD15" s="33">
        <f t="shared" si="7"/>
        <v>7665.2655922879994</v>
      </c>
      <c r="AE15" s="28">
        <v>603.83000000000004</v>
      </c>
      <c r="AF15" s="30">
        <f t="shared" si="8"/>
        <v>2291.0445922879999</v>
      </c>
      <c r="AG15" s="127"/>
      <c r="AH15" s="127"/>
      <c r="AI15" s="122"/>
      <c r="AJ15" s="123"/>
      <c r="AK15" s="9"/>
    </row>
    <row r="16" spans="1:40" x14ac:dyDescent="0.2">
      <c r="A16" s="16">
        <v>44317</v>
      </c>
      <c r="B16" s="12">
        <v>15</v>
      </c>
      <c r="C16" s="13">
        <f t="shared" si="5"/>
        <v>11</v>
      </c>
      <c r="D16" s="23">
        <f t="shared" si="1"/>
        <v>2700</v>
      </c>
      <c r="E16" s="57">
        <f t="shared" si="0"/>
        <v>1980</v>
      </c>
      <c r="F16" s="57">
        <f t="shared" si="6"/>
        <v>23220</v>
      </c>
      <c r="G16" s="14">
        <v>44351</v>
      </c>
      <c r="H16" s="15">
        <v>44386</v>
      </c>
      <c r="I16" s="24">
        <v>1400</v>
      </c>
      <c r="J16" s="58">
        <f>J4-I16</f>
        <v>23800</v>
      </c>
      <c r="K16" s="58">
        <f>I16</f>
        <v>1400</v>
      </c>
      <c r="L16" s="14">
        <v>44348</v>
      </c>
      <c r="M16" s="15">
        <v>44369</v>
      </c>
      <c r="N16" s="86"/>
      <c r="O16" s="83"/>
      <c r="P16" s="83"/>
      <c r="Q16" s="84"/>
      <c r="R16" s="85"/>
      <c r="S16" s="138"/>
      <c r="T16" s="147"/>
      <c r="U16" s="143"/>
      <c r="V16" s="83"/>
      <c r="W16" s="83"/>
      <c r="X16" s="84"/>
      <c r="Y16" s="85"/>
      <c r="Z16" s="31">
        <f t="shared" si="2"/>
        <v>4100</v>
      </c>
      <c r="AA16" s="32">
        <f t="shared" si="9"/>
        <v>990.74040000000002</v>
      </c>
      <c r="AB16" s="33">
        <f t="shared" si="3"/>
        <v>415.81374588</v>
      </c>
      <c r="AC16" s="33">
        <f t="shared" si="4"/>
        <v>1406.5541458800001</v>
      </c>
      <c r="AD16" s="33">
        <f t="shared" si="7"/>
        <v>9071.8197381680002</v>
      </c>
      <c r="AE16" s="28">
        <v>335.46</v>
      </c>
      <c r="AF16" s="30">
        <f t="shared" si="8"/>
        <v>3362.1387381679997</v>
      </c>
      <c r="AG16" s="127"/>
      <c r="AH16" s="127"/>
      <c r="AI16" s="122"/>
      <c r="AJ16" s="123"/>
      <c r="AK16" s="9"/>
    </row>
    <row r="17" spans="1:37" x14ac:dyDescent="0.2">
      <c r="A17" s="16">
        <v>44348</v>
      </c>
      <c r="B17" s="12">
        <v>11</v>
      </c>
      <c r="C17" s="13">
        <f t="shared" si="5"/>
        <v>0</v>
      </c>
      <c r="D17" s="23">
        <f t="shared" si="1"/>
        <v>1980</v>
      </c>
      <c r="E17" s="57">
        <f t="shared" si="0"/>
        <v>0</v>
      </c>
      <c r="F17" s="57">
        <f t="shared" si="6"/>
        <v>25200</v>
      </c>
      <c r="G17" s="14">
        <v>44378</v>
      </c>
      <c r="H17" s="15">
        <v>44439</v>
      </c>
      <c r="I17" s="24">
        <v>1400</v>
      </c>
      <c r="J17" s="58">
        <f t="shared" ref="J17:J23" si="10">J16-I17</f>
        <v>22400</v>
      </c>
      <c r="K17" s="58">
        <f t="shared" ref="K17:K33" si="11">K16+I17</f>
        <v>2800</v>
      </c>
      <c r="L17" s="14">
        <v>44378</v>
      </c>
      <c r="M17" s="15">
        <v>44384</v>
      </c>
      <c r="N17" s="86"/>
      <c r="O17" s="83"/>
      <c r="P17" s="83"/>
      <c r="Q17" s="84"/>
      <c r="R17" s="85"/>
      <c r="S17" s="138"/>
      <c r="T17" s="147"/>
      <c r="U17" s="143"/>
      <c r="V17" s="83"/>
      <c r="W17" s="83"/>
      <c r="X17" s="84"/>
      <c r="Y17" s="85"/>
      <c r="Z17" s="31">
        <f t="shared" si="2"/>
        <v>3380</v>
      </c>
      <c r="AA17" s="32">
        <f t="shared" si="9"/>
        <v>816.7567200000002</v>
      </c>
      <c r="AB17" s="33">
        <f t="shared" si="3"/>
        <v>342.79279538400004</v>
      </c>
      <c r="AC17" s="33">
        <f t="shared" si="4"/>
        <v>1159.5495153840002</v>
      </c>
      <c r="AD17" s="33">
        <f t="shared" si="7"/>
        <v>10231.369253552</v>
      </c>
      <c r="AE17" s="28">
        <v>4521.76</v>
      </c>
      <c r="AF17" s="30">
        <f t="shared" si="8"/>
        <v>-7.1746448000340024E-2</v>
      </c>
      <c r="AG17" s="127"/>
      <c r="AH17" s="127"/>
      <c r="AI17" s="122"/>
      <c r="AJ17" s="123"/>
      <c r="AK17" s="9"/>
    </row>
    <row r="18" spans="1:37" x14ac:dyDescent="0.2">
      <c r="A18" s="16">
        <v>44378</v>
      </c>
      <c r="B18" s="12">
        <v>12</v>
      </c>
      <c r="C18" s="13">
        <f>C5-B18</f>
        <v>36</v>
      </c>
      <c r="D18" s="23">
        <f t="shared" si="1"/>
        <v>2160</v>
      </c>
      <c r="E18" s="57">
        <f t="shared" si="0"/>
        <v>6480</v>
      </c>
      <c r="F18" s="57">
        <f t="shared" si="6"/>
        <v>27360</v>
      </c>
      <c r="G18" s="14">
        <v>44439</v>
      </c>
      <c r="H18" s="15">
        <v>44468</v>
      </c>
      <c r="I18" s="24">
        <v>1400</v>
      </c>
      <c r="J18" s="58">
        <f t="shared" si="10"/>
        <v>21000</v>
      </c>
      <c r="K18" s="58">
        <f t="shared" si="11"/>
        <v>4200</v>
      </c>
      <c r="L18" s="14">
        <v>44407</v>
      </c>
      <c r="M18" s="15">
        <v>44417</v>
      </c>
      <c r="N18" s="86"/>
      <c r="O18" s="83"/>
      <c r="P18" s="83"/>
      <c r="Q18" s="84"/>
      <c r="R18" s="85"/>
      <c r="S18" s="138"/>
      <c r="T18" s="147"/>
      <c r="U18" s="143"/>
      <c r="V18" s="83"/>
      <c r="W18" s="83"/>
      <c r="X18" s="84"/>
      <c r="Y18" s="85"/>
      <c r="Z18" s="31">
        <f t="shared" si="2"/>
        <v>3560</v>
      </c>
      <c r="AA18" s="32">
        <f t="shared" si="9"/>
        <v>860.25264000000016</v>
      </c>
      <c r="AB18" s="33">
        <f t="shared" si="3"/>
        <v>361.048033008</v>
      </c>
      <c r="AC18" s="33">
        <f t="shared" si="4"/>
        <v>1221.3006730080001</v>
      </c>
      <c r="AD18" s="33">
        <f t="shared" si="7"/>
        <v>11452.66992656</v>
      </c>
      <c r="AE18" s="28">
        <v>1221.3</v>
      </c>
      <c r="AF18" s="30">
        <f t="shared" si="8"/>
        <v>-7.1073440000191113E-2</v>
      </c>
      <c r="AG18" s="127"/>
      <c r="AH18" s="127"/>
      <c r="AI18" s="122"/>
      <c r="AJ18" s="123"/>
      <c r="AK18" s="9"/>
    </row>
    <row r="19" spans="1:37" x14ac:dyDescent="0.2">
      <c r="A19" s="16">
        <v>44409</v>
      </c>
      <c r="B19" s="12">
        <v>5</v>
      </c>
      <c r="C19" s="13">
        <f>C18-B19</f>
        <v>31</v>
      </c>
      <c r="D19" s="23">
        <f t="shared" si="1"/>
        <v>900</v>
      </c>
      <c r="E19" s="57">
        <f t="shared" si="0"/>
        <v>5580</v>
      </c>
      <c r="F19" s="57">
        <f t="shared" si="6"/>
        <v>28260</v>
      </c>
      <c r="G19" s="14">
        <v>44453</v>
      </c>
      <c r="H19" s="15">
        <v>44509</v>
      </c>
      <c r="I19" s="24">
        <v>1400</v>
      </c>
      <c r="J19" s="58">
        <f t="shared" si="10"/>
        <v>19600</v>
      </c>
      <c r="K19" s="58">
        <f t="shared" si="11"/>
        <v>5600</v>
      </c>
      <c r="L19" s="14">
        <v>44439</v>
      </c>
      <c r="M19" s="15">
        <v>44447</v>
      </c>
      <c r="N19" s="86"/>
      <c r="O19" s="83"/>
      <c r="P19" s="83"/>
      <c r="Q19" s="84"/>
      <c r="R19" s="85"/>
      <c r="S19" s="138"/>
      <c r="T19" s="147"/>
      <c r="U19" s="143"/>
      <c r="V19" s="83"/>
      <c r="W19" s="83"/>
      <c r="X19" s="84"/>
      <c r="Y19" s="85"/>
      <c r="Z19" s="31">
        <f t="shared" si="2"/>
        <v>2300</v>
      </c>
      <c r="AA19" s="32">
        <f t="shared" si="9"/>
        <v>555.78120000000013</v>
      </c>
      <c r="AB19" s="33">
        <f t="shared" si="3"/>
        <v>233.26136964000003</v>
      </c>
      <c r="AC19" s="33">
        <f t="shared" si="4"/>
        <v>789.04256964000012</v>
      </c>
      <c r="AD19" s="33">
        <f t="shared" si="7"/>
        <v>12241.7124962</v>
      </c>
      <c r="AE19" s="28">
        <v>789</v>
      </c>
      <c r="AF19" s="30">
        <f t="shared" si="8"/>
        <v>-2.8503800000066803E-2</v>
      </c>
      <c r="AG19" s="127"/>
      <c r="AH19" s="127"/>
      <c r="AI19" s="122"/>
      <c r="AJ19" s="123"/>
      <c r="AK19" s="9"/>
    </row>
    <row r="20" spans="1:37" x14ac:dyDescent="0.2">
      <c r="A20" s="16">
        <v>44440</v>
      </c>
      <c r="B20" s="12">
        <v>13</v>
      </c>
      <c r="C20" s="13">
        <f>C19-B20</f>
        <v>18</v>
      </c>
      <c r="D20" s="23">
        <f t="shared" si="1"/>
        <v>2340</v>
      </c>
      <c r="E20" s="57">
        <f t="shared" si="0"/>
        <v>3240</v>
      </c>
      <c r="F20" s="57">
        <f t="shared" si="6"/>
        <v>30600</v>
      </c>
      <c r="G20" s="14">
        <v>44470</v>
      </c>
      <c r="H20" s="15">
        <v>44532</v>
      </c>
      <c r="I20" s="24">
        <v>1400</v>
      </c>
      <c r="J20" s="58">
        <f t="shared" si="10"/>
        <v>18200</v>
      </c>
      <c r="K20" s="58">
        <f t="shared" si="11"/>
        <v>7000</v>
      </c>
      <c r="L20" s="14">
        <v>44469</v>
      </c>
      <c r="M20" s="15">
        <v>44474</v>
      </c>
      <c r="N20" s="86"/>
      <c r="O20" s="83"/>
      <c r="P20" s="83"/>
      <c r="Q20" s="84"/>
      <c r="R20" s="85"/>
      <c r="S20" s="138"/>
      <c r="T20" s="147"/>
      <c r="U20" s="143"/>
      <c r="V20" s="83"/>
      <c r="W20" s="83"/>
      <c r="X20" s="84"/>
      <c r="Y20" s="85"/>
      <c r="Z20" s="31">
        <f t="shared" si="2"/>
        <v>3740</v>
      </c>
      <c r="AA20" s="32">
        <f t="shared" si="9"/>
        <v>903.74856000000023</v>
      </c>
      <c r="AB20" s="33">
        <f t="shared" si="3"/>
        <v>379.30327063200008</v>
      </c>
      <c r="AC20" s="33">
        <f t="shared" si="4"/>
        <v>1283.0518306320002</v>
      </c>
      <c r="AD20" s="33">
        <f t="shared" si="7"/>
        <v>13524.764326832001</v>
      </c>
      <c r="AE20" s="38">
        <v>1E-3</v>
      </c>
      <c r="AF20" s="30">
        <f t="shared" si="8"/>
        <v>1283.0223268320003</v>
      </c>
      <c r="AG20" s="127"/>
      <c r="AH20" s="127"/>
      <c r="AI20" s="124"/>
      <c r="AJ20" s="123"/>
      <c r="AK20" s="9"/>
    </row>
    <row r="21" spans="1:37" x14ac:dyDescent="0.2">
      <c r="A21" s="16">
        <v>44470</v>
      </c>
      <c r="B21" s="12">
        <v>13</v>
      </c>
      <c r="C21" s="13">
        <f>C20-B21</f>
        <v>5</v>
      </c>
      <c r="D21" s="23">
        <f t="shared" si="1"/>
        <v>2340</v>
      </c>
      <c r="E21" s="57">
        <f t="shared" si="0"/>
        <v>900</v>
      </c>
      <c r="F21" s="57">
        <f t="shared" si="6"/>
        <v>32940</v>
      </c>
      <c r="G21" s="14">
        <v>44508</v>
      </c>
      <c r="H21" s="15">
        <v>44560</v>
      </c>
      <c r="I21" s="24">
        <v>1400</v>
      </c>
      <c r="J21" s="58">
        <f t="shared" si="10"/>
        <v>16800</v>
      </c>
      <c r="K21" s="58">
        <f t="shared" si="11"/>
        <v>8400</v>
      </c>
      <c r="L21" s="14">
        <v>44498</v>
      </c>
      <c r="M21" s="15">
        <v>44511</v>
      </c>
      <c r="N21" s="86"/>
      <c r="O21" s="83"/>
      <c r="P21" s="83"/>
      <c r="Q21" s="84"/>
      <c r="R21" s="85"/>
      <c r="S21" s="138"/>
      <c r="T21" s="147"/>
      <c r="U21" s="143"/>
      <c r="V21" s="83"/>
      <c r="W21" s="83"/>
      <c r="X21" s="84"/>
      <c r="Y21" s="85"/>
      <c r="Z21" s="31">
        <f t="shared" si="2"/>
        <v>3740</v>
      </c>
      <c r="AA21" s="32">
        <f t="shared" si="9"/>
        <v>903.74856000000023</v>
      </c>
      <c r="AB21" s="33">
        <f t="shared" si="3"/>
        <v>379.30327063200008</v>
      </c>
      <c r="AC21" s="33">
        <f t="shared" si="4"/>
        <v>1283.0518306320002</v>
      </c>
      <c r="AD21" s="33">
        <f t="shared" si="7"/>
        <v>14807.816157464002</v>
      </c>
      <c r="AE21" s="28">
        <v>2566.1510573719329</v>
      </c>
      <c r="AF21" s="30">
        <f t="shared" si="8"/>
        <v>-7.689990793232937E-2</v>
      </c>
      <c r="AG21" s="127"/>
      <c r="AH21" s="127"/>
      <c r="AI21" s="122"/>
      <c r="AJ21" s="123"/>
      <c r="AK21" s="9"/>
    </row>
    <row r="22" spans="1:37" x14ac:dyDescent="0.2">
      <c r="A22" s="16">
        <v>44501</v>
      </c>
      <c r="B22" s="12">
        <v>14</v>
      </c>
      <c r="C22" s="13">
        <v>156</v>
      </c>
      <c r="D22" s="23">
        <f t="shared" si="1"/>
        <v>2520</v>
      </c>
      <c r="E22" s="57">
        <v>28080</v>
      </c>
      <c r="F22" s="57">
        <v>35460</v>
      </c>
      <c r="G22" s="14">
        <v>44543</v>
      </c>
      <c r="H22" s="15">
        <v>44609</v>
      </c>
      <c r="I22" s="24">
        <v>1400</v>
      </c>
      <c r="J22" s="58">
        <f t="shared" si="10"/>
        <v>15400</v>
      </c>
      <c r="K22" s="58">
        <f t="shared" si="11"/>
        <v>9800</v>
      </c>
      <c r="L22" s="14">
        <v>44530</v>
      </c>
      <c r="M22" s="15">
        <v>44536</v>
      </c>
      <c r="N22" s="86"/>
      <c r="O22" s="83"/>
      <c r="P22" s="83"/>
      <c r="Q22" s="84"/>
      <c r="R22" s="85"/>
      <c r="S22" s="138"/>
      <c r="T22" s="147"/>
      <c r="U22" s="143"/>
      <c r="V22" s="83"/>
      <c r="W22" s="83"/>
      <c r="X22" s="84"/>
      <c r="Y22" s="85"/>
      <c r="Z22" s="31">
        <f t="shared" si="2"/>
        <v>3920</v>
      </c>
      <c r="AA22" s="32">
        <f t="shared" si="9"/>
        <v>947.24448000000007</v>
      </c>
      <c r="AB22" s="33">
        <f t="shared" si="3"/>
        <v>397.55850825599998</v>
      </c>
      <c r="AC22" s="33">
        <f t="shared" si="4"/>
        <v>1344.8029882559999</v>
      </c>
      <c r="AD22" s="33">
        <f t="shared" si="7"/>
        <v>16152.619145720002</v>
      </c>
      <c r="AE22" s="28">
        <v>1E-3</v>
      </c>
      <c r="AF22" s="30">
        <f t="shared" si="8"/>
        <v>1344.7250883480676</v>
      </c>
      <c r="AG22" s="127"/>
      <c r="AH22" s="127"/>
      <c r="AI22" s="122"/>
      <c r="AJ22" s="123"/>
      <c r="AK22" s="9"/>
    </row>
    <row r="23" spans="1:37" x14ac:dyDescent="0.2">
      <c r="A23" s="16">
        <v>44531</v>
      </c>
      <c r="B23" s="12">
        <v>14</v>
      </c>
      <c r="C23" s="13">
        <f t="shared" ref="C23:C33" si="12">C22-B23</f>
        <v>142</v>
      </c>
      <c r="D23" s="23">
        <f t="shared" si="1"/>
        <v>2520</v>
      </c>
      <c r="E23" s="57">
        <f t="shared" ref="E23:E34" si="13">C23*$AL$1</f>
        <v>25560</v>
      </c>
      <c r="F23" s="57">
        <f t="shared" ref="F23:F34" si="14">D23+F22</f>
        <v>37980</v>
      </c>
      <c r="G23" s="14">
        <v>44580</v>
      </c>
      <c r="H23" s="15">
        <v>44621</v>
      </c>
      <c r="I23" s="24">
        <v>1400</v>
      </c>
      <c r="J23" s="58">
        <f t="shared" si="10"/>
        <v>14000</v>
      </c>
      <c r="K23" s="58">
        <f t="shared" si="11"/>
        <v>11200</v>
      </c>
      <c r="L23" s="14">
        <v>44561</v>
      </c>
      <c r="M23" s="15">
        <v>44578</v>
      </c>
      <c r="N23" s="86"/>
      <c r="O23" s="83"/>
      <c r="P23" s="83"/>
      <c r="Q23" s="84"/>
      <c r="R23" s="85"/>
      <c r="S23" s="138"/>
      <c r="T23" s="147"/>
      <c r="U23" s="143"/>
      <c r="V23" s="83"/>
      <c r="W23" s="83"/>
      <c r="X23" s="84"/>
      <c r="Y23" s="85"/>
      <c r="Z23" s="31">
        <f t="shared" si="2"/>
        <v>3920</v>
      </c>
      <c r="AA23" s="32">
        <f t="shared" si="9"/>
        <v>947.24448000000007</v>
      </c>
      <c r="AB23" s="33">
        <f t="shared" si="3"/>
        <v>397.55850825599998</v>
      </c>
      <c r="AC23" s="33">
        <f t="shared" si="4"/>
        <v>1344.8029882559999</v>
      </c>
      <c r="AD23" s="33">
        <f t="shared" si="7"/>
        <v>17497.422133976001</v>
      </c>
      <c r="AE23" s="28">
        <v>2690</v>
      </c>
      <c r="AF23" s="30">
        <f t="shared" si="8"/>
        <v>-0.47192339593220822</v>
      </c>
      <c r="AG23" s="127"/>
      <c r="AH23" s="127"/>
      <c r="AI23" s="122"/>
      <c r="AJ23" s="123"/>
      <c r="AK23" s="9"/>
    </row>
    <row r="24" spans="1:37" x14ac:dyDescent="0.2">
      <c r="A24" s="11">
        <v>44562</v>
      </c>
      <c r="B24" s="12">
        <v>14</v>
      </c>
      <c r="C24" s="13">
        <f t="shared" si="12"/>
        <v>128</v>
      </c>
      <c r="D24" s="23">
        <f t="shared" si="1"/>
        <v>2520</v>
      </c>
      <c r="E24" s="57">
        <f t="shared" si="13"/>
        <v>23040</v>
      </c>
      <c r="F24" s="57">
        <f t="shared" si="14"/>
        <v>40500</v>
      </c>
      <c r="G24" s="14">
        <v>44608</v>
      </c>
      <c r="H24" s="15">
        <v>44651</v>
      </c>
      <c r="I24" s="24">
        <v>1800</v>
      </c>
      <c r="J24" s="58">
        <f>J23-I24+4000</f>
        <v>16200</v>
      </c>
      <c r="K24" s="58">
        <f t="shared" si="11"/>
        <v>13000</v>
      </c>
      <c r="L24" s="14">
        <v>44592</v>
      </c>
      <c r="M24" s="15">
        <v>44601</v>
      </c>
      <c r="N24" s="86"/>
      <c r="O24" s="83"/>
      <c r="P24" s="83"/>
      <c r="Q24" s="84"/>
      <c r="R24" s="85"/>
      <c r="S24" s="138"/>
      <c r="T24" s="147"/>
      <c r="U24" s="143"/>
      <c r="V24" s="83"/>
      <c r="W24" s="83"/>
      <c r="X24" s="84"/>
      <c r="Y24" s="85"/>
      <c r="Z24" s="25">
        <f t="shared" si="2"/>
        <v>4320</v>
      </c>
      <c r="AA24" s="26">
        <f t="shared" ref="AA24:AA70" si="15">((Z24*78%)*5%)+((Z24*78%)*26.23%)</f>
        <v>1052.3260799999998</v>
      </c>
      <c r="AB24" s="27">
        <f t="shared" si="3"/>
        <v>441.6612557759999</v>
      </c>
      <c r="AC24" s="27">
        <f t="shared" si="4"/>
        <v>1493.9873357759998</v>
      </c>
      <c r="AD24" s="27">
        <f t="shared" si="7"/>
        <v>18991.409469752001</v>
      </c>
      <c r="AE24" s="28">
        <v>1494</v>
      </c>
      <c r="AF24" s="30">
        <f t="shared" si="8"/>
        <v>-0.48458761993242661</v>
      </c>
      <c r="AG24" s="121"/>
      <c r="AH24" s="121"/>
      <c r="AI24" s="122"/>
      <c r="AJ24" s="123"/>
      <c r="AK24" s="9"/>
    </row>
    <row r="25" spans="1:37" x14ac:dyDescent="0.2">
      <c r="A25" s="11">
        <v>44593</v>
      </c>
      <c r="B25" s="12">
        <v>14</v>
      </c>
      <c r="C25" s="13">
        <f t="shared" si="12"/>
        <v>114</v>
      </c>
      <c r="D25" s="23">
        <f t="shared" si="1"/>
        <v>2520</v>
      </c>
      <c r="E25" s="57">
        <f t="shared" si="13"/>
        <v>20520</v>
      </c>
      <c r="F25" s="57">
        <f t="shared" si="14"/>
        <v>43020</v>
      </c>
      <c r="G25" s="14">
        <v>44651</v>
      </c>
      <c r="H25" s="15">
        <v>44680</v>
      </c>
      <c r="I25" s="24">
        <v>1800</v>
      </c>
      <c r="J25" s="58">
        <f t="shared" ref="J25:J33" si="16">J24-I25</f>
        <v>14400</v>
      </c>
      <c r="K25" s="58">
        <f t="shared" si="11"/>
        <v>14800</v>
      </c>
      <c r="L25" s="14">
        <v>44620</v>
      </c>
      <c r="M25" s="15">
        <v>44629</v>
      </c>
      <c r="N25" s="86"/>
      <c r="O25" s="83"/>
      <c r="P25" s="83"/>
      <c r="Q25" s="84"/>
      <c r="R25" s="85"/>
      <c r="S25" s="138"/>
      <c r="T25" s="147"/>
      <c r="U25" s="143"/>
      <c r="V25" s="83"/>
      <c r="W25" s="83"/>
      <c r="X25" s="84"/>
      <c r="Y25" s="85"/>
      <c r="Z25" s="25">
        <f t="shared" si="2"/>
        <v>4320</v>
      </c>
      <c r="AA25" s="26">
        <f t="shared" si="15"/>
        <v>1052.3260799999998</v>
      </c>
      <c r="AB25" s="27">
        <f t="shared" si="3"/>
        <v>441.6612557759999</v>
      </c>
      <c r="AC25" s="27">
        <f t="shared" si="4"/>
        <v>1493.9873357759998</v>
      </c>
      <c r="AD25" s="27">
        <f t="shared" si="7"/>
        <v>20485.396805528002</v>
      </c>
      <c r="AE25" s="28">
        <v>1494</v>
      </c>
      <c r="AF25" s="30">
        <f t="shared" si="8"/>
        <v>-0.49725184393264499</v>
      </c>
      <c r="AG25" s="121"/>
      <c r="AH25" s="121"/>
      <c r="AI25" s="122"/>
      <c r="AJ25" s="123"/>
      <c r="AK25" s="9"/>
    </row>
    <row r="26" spans="1:37" x14ac:dyDescent="0.2">
      <c r="A26" s="11">
        <v>44621</v>
      </c>
      <c r="B26" s="12">
        <v>13</v>
      </c>
      <c r="C26" s="13">
        <f t="shared" si="12"/>
        <v>101</v>
      </c>
      <c r="D26" s="23">
        <f t="shared" si="1"/>
        <v>2340</v>
      </c>
      <c r="E26" s="57">
        <f t="shared" si="13"/>
        <v>18180</v>
      </c>
      <c r="F26" s="57">
        <f t="shared" si="14"/>
        <v>45360</v>
      </c>
      <c r="G26" s="14">
        <v>44663</v>
      </c>
      <c r="H26" s="15">
        <v>44713</v>
      </c>
      <c r="I26" s="24">
        <v>1800</v>
      </c>
      <c r="J26" s="58">
        <f t="shared" si="16"/>
        <v>12600</v>
      </c>
      <c r="K26" s="58">
        <f t="shared" si="11"/>
        <v>16600</v>
      </c>
      <c r="L26" s="14">
        <v>44651</v>
      </c>
      <c r="M26" s="15">
        <v>44658</v>
      </c>
      <c r="N26" s="86"/>
      <c r="O26" s="83"/>
      <c r="P26" s="83"/>
      <c r="Q26" s="84"/>
      <c r="R26" s="85"/>
      <c r="S26" s="138"/>
      <c r="T26" s="147"/>
      <c r="U26" s="143"/>
      <c r="V26" s="83"/>
      <c r="W26" s="83"/>
      <c r="X26" s="84"/>
      <c r="Y26" s="85"/>
      <c r="Z26" s="25">
        <f t="shared" si="2"/>
        <v>4140</v>
      </c>
      <c r="AA26" s="26">
        <f t="shared" si="15"/>
        <v>1008.47916</v>
      </c>
      <c r="AB26" s="27">
        <f t="shared" si="3"/>
        <v>423.25870345199996</v>
      </c>
      <c r="AC26" s="27">
        <f t="shared" si="4"/>
        <v>1431.7378634520001</v>
      </c>
      <c r="AD26" s="27">
        <f t="shared" si="7"/>
        <v>21917.134668980001</v>
      </c>
      <c r="AE26" s="28">
        <v>1431.4</v>
      </c>
      <c r="AF26" s="30">
        <f t="shared" si="8"/>
        <v>-0.15938839193267995</v>
      </c>
      <c r="AG26" s="121"/>
      <c r="AH26" s="121"/>
      <c r="AI26" s="122"/>
      <c r="AJ26" s="123"/>
      <c r="AK26" s="9"/>
    </row>
    <row r="27" spans="1:37" x14ac:dyDescent="0.2">
      <c r="A27" s="11">
        <v>44652</v>
      </c>
      <c r="B27" s="12">
        <v>15</v>
      </c>
      <c r="C27" s="13">
        <f t="shared" si="12"/>
        <v>86</v>
      </c>
      <c r="D27" s="23">
        <f t="shared" si="1"/>
        <v>2700</v>
      </c>
      <c r="E27" s="57">
        <f t="shared" si="13"/>
        <v>15480</v>
      </c>
      <c r="F27" s="57">
        <f t="shared" si="14"/>
        <v>48060</v>
      </c>
      <c r="G27" s="14">
        <v>44694</v>
      </c>
      <c r="H27" s="15">
        <v>44750</v>
      </c>
      <c r="I27" s="24">
        <v>1800</v>
      </c>
      <c r="J27" s="58">
        <f t="shared" si="16"/>
        <v>10800</v>
      </c>
      <c r="K27" s="58">
        <f t="shared" si="11"/>
        <v>18400</v>
      </c>
      <c r="L27" s="14">
        <v>44680</v>
      </c>
      <c r="M27" s="15">
        <v>44687</v>
      </c>
      <c r="N27" s="86"/>
      <c r="O27" s="83"/>
      <c r="P27" s="83"/>
      <c r="Q27" s="84"/>
      <c r="R27" s="85"/>
      <c r="S27" s="138"/>
      <c r="T27" s="147"/>
      <c r="U27" s="143"/>
      <c r="V27" s="83"/>
      <c r="W27" s="83"/>
      <c r="X27" s="84"/>
      <c r="Y27" s="85"/>
      <c r="Z27" s="25">
        <f t="shared" si="2"/>
        <v>4500</v>
      </c>
      <c r="AA27" s="26">
        <f t="shared" si="15"/>
        <v>1096.1729999999998</v>
      </c>
      <c r="AB27" s="27">
        <f t="shared" si="3"/>
        <v>460.06380809999985</v>
      </c>
      <c r="AC27" s="27">
        <f t="shared" si="4"/>
        <v>1556.2368080999995</v>
      </c>
      <c r="AD27" s="27">
        <f t="shared" si="7"/>
        <v>23473.37147708</v>
      </c>
      <c r="AE27" s="28">
        <v>1556.4</v>
      </c>
      <c r="AF27" s="30">
        <f t="shared" si="8"/>
        <v>-0.32258029193326365</v>
      </c>
      <c r="AG27" s="121"/>
      <c r="AH27" s="121"/>
      <c r="AI27" s="122"/>
      <c r="AJ27" s="123"/>
      <c r="AK27" s="9"/>
    </row>
    <row r="28" spans="1:37" x14ac:dyDescent="0.2">
      <c r="A28" s="11">
        <v>44682</v>
      </c>
      <c r="B28" s="12">
        <v>11</v>
      </c>
      <c r="C28" s="13">
        <f t="shared" si="12"/>
        <v>75</v>
      </c>
      <c r="D28" s="23">
        <f t="shared" si="1"/>
        <v>1980</v>
      </c>
      <c r="E28" s="57">
        <f t="shared" si="13"/>
        <v>13500</v>
      </c>
      <c r="F28" s="57">
        <f t="shared" si="14"/>
        <v>50040</v>
      </c>
      <c r="G28" s="14">
        <v>44726</v>
      </c>
      <c r="H28" s="15">
        <v>44777</v>
      </c>
      <c r="I28" s="24">
        <v>1800</v>
      </c>
      <c r="J28" s="58">
        <f t="shared" si="16"/>
        <v>9000</v>
      </c>
      <c r="K28" s="58">
        <f t="shared" si="11"/>
        <v>20200</v>
      </c>
      <c r="L28" s="14">
        <v>44712</v>
      </c>
      <c r="M28" s="15">
        <v>44715</v>
      </c>
      <c r="N28" s="86"/>
      <c r="O28" s="83"/>
      <c r="P28" s="83"/>
      <c r="Q28" s="84"/>
      <c r="R28" s="85"/>
      <c r="S28" s="138"/>
      <c r="T28" s="147"/>
      <c r="U28" s="143"/>
      <c r="V28" s="83"/>
      <c r="W28" s="83"/>
      <c r="X28" s="84"/>
      <c r="Y28" s="85"/>
      <c r="Z28" s="25">
        <f t="shared" si="2"/>
        <v>3780</v>
      </c>
      <c r="AA28" s="26">
        <f t="shared" si="15"/>
        <v>920.78531999999996</v>
      </c>
      <c r="AB28" s="27">
        <f t="shared" si="3"/>
        <v>386.45359880399997</v>
      </c>
      <c r="AC28" s="27">
        <f t="shared" si="4"/>
        <v>1307.2389188039999</v>
      </c>
      <c r="AD28" s="27">
        <f t="shared" si="7"/>
        <v>24780.610395883999</v>
      </c>
      <c r="AE28" s="28">
        <v>1307</v>
      </c>
      <c r="AF28" s="30">
        <f t="shared" si="8"/>
        <v>-8.366148793334105E-2</v>
      </c>
      <c r="AG28" s="121"/>
      <c r="AH28" s="121"/>
      <c r="AI28" s="122"/>
      <c r="AJ28" s="123"/>
      <c r="AK28" s="9"/>
    </row>
    <row r="29" spans="1:37" x14ac:dyDescent="0.2">
      <c r="A29" s="11">
        <v>44713</v>
      </c>
      <c r="B29" s="12">
        <v>14</v>
      </c>
      <c r="C29" s="13">
        <f t="shared" si="12"/>
        <v>61</v>
      </c>
      <c r="D29" s="23">
        <f t="shared" si="1"/>
        <v>2520</v>
      </c>
      <c r="E29" s="57">
        <f t="shared" si="13"/>
        <v>10980</v>
      </c>
      <c r="F29" s="57">
        <f t="shared" si="14"/>
        <v>52560</v>
      </c>
      <c r="G29" s="14">
        <v>44760</v>
      </c>
      <c r="H29" s="15">
        <v>44805</v>
      </c>
      <c r="I29" s="24">
        <v>1800</v>
      </c>
      <c r="J29" s="58">
        <f t="shared" si="16"/>
        <v>7200</v>
      </c>
      <c r="K29" s="58">
        <f t="shared" si="11"/>
        <v>22000</v>
      </c>
      <c r="L29" s="14">
        <v>44742</v>
      </c>
      <c r="M29" s="15">
        <v>44750</v>
      </c>
      <c r="N29" s="86"/>
      <c r="O29" s="83"/>
      <c r="P29" s="83"/>
      <c r="Q29" s="84"/>
      <c r="R29" s="85"/>
      <c r="S29" s="138"/>
      <c r="T29" s="147"/>
      <c r="U29" s="143"/>
      <c r="V29" s="83"/>
      <c r="W29" s="83"/>
      <c r="X29" s="84"/>
      <c r="Y29" s="85"/>
      <c r="Z29" s="25">
        <f t="shared" si="2"/>
        <v>4320</v>
      </c>
      <c r="AA29" s="26">
        <f t="shared" si="15"/>
        <v>1052.3260799999998</v>
      </c>
      <c r="AB29" s="27">
        <f t="shared" si="3"/>
        <v>441.6612557759999</v>
      </c>
      <c r="AC29" s="27">
        <f t="shared" si="4"/>
        <v>1493.9873357759998</v>
      </c>
      <c r="AD29" s="27">
        <f t="shared" si="7"/>
        <v>26274.59773166</v>
      </c>
      <c r="AE29" s="28">
        <v>1494</v>
      </c>
      <c r="AF29" s="30">
        <f t="shared" si="8"/>
        <v>-9.6325711933559433E-2</v>
      </c>
      <c r="AG29" s="121"/>
      <c r="AH29" s="121"/>
      <c r="AI29" s="122"/>
      <c r="AJ29" s="123"/>
      <c r="AK29" s="9"/>
    </row>
    <row r="30" spans="1:37" x14ac:dyDescent="0.2">
      <c r="A30" s="11">
        <v>44743</v>
      </c>
      <c r="B30" s="12">
        <v>15</v>
      </c>
      <c r="C30" s="13">
        <f t="shared" si="12"/>
        <v>46</v>
      </c>
      <c r="D30" s="23">
        <f t="shared" si="1"/>
        <v>2700</v>
      </c>
      <c r="E30" s="57">
        <f t="shared" si="13"/>
        <v>8280</v>
      </c>
      <c r="F30" s="57">
        <f t="shared" si="14"/>
        <v>55260</v>
      </c>
      <c r="G30" s="14">
        <v>44779</v>
      </c>
      <c r="H30" s="15">
        <v>44833</v>
      </c>
      <c r="I30" s="24">
        <v>1800</v>
      </c>
      <c r="J30" s="58">
        <f t="shared" si="16"/>
        <v>5400</v>
      </c>
      <c r="K30" s="58">
        <f t="shared" si="11"/>
        <v>23800</v>
      </c>
      <c r="L30" s="14">
        <v>44771</v>
      </c>
      <c r="M30" s="15">
        <v>44781</v>
      </c>
      <c r="N30" s="86"/>
      <c r="O30" s="83"/>
      <c r="P30" s="83"/>
      <c r="Q30" s="84"/>
      <c r="R30" s="85"/>
      <c r="S30" s="138"/>
      <c r="T30" s="147"/>
      <c r="U30" s="143"/>
      <c r="V30" s="83"/>
      <c r="W30" s="83"/>
      <c r="X30" s="84"/>
      <c r="Y30" s="85"/>
      <c r="Z30" s="25">
        <f t="shared" si="2"/>
        <v>4500</v>
      </c>
      <c r="AA30" s="26">
        <f t="shared" si="15"/>
        <v>1096.1729999999998</v>
      </c>
      <c r="AB30" s="27">
        <f t="shared" si="3"/>
        <v>460.06380809999985</v>
      </c>
      <c r="AC30" s="27">
        <f t="shared" si="4"/>
        <v>1556.2368080999995</v>
      </c>
      <c r="AD30" s="27">
        <f t="shared" si="7"/>
        <v>27830.834539759999</v>
      </c>
      <c r="AE30" s="28">
        <v>1556.4</v>
      </c>
      <c r="AF30" s="30">
        <f t="shared" si="8"/>
        <v>-0.25951761193414313</v>
      </c>
      <c r="AG30" s="121"/>
      <c r="AH30" s="121"/>
      <c r="AI30" s="122"/>
      <c r="AJ30" s="123"/>
      <c r="AK30" s="9"/>
    </row>
    <row r="31" spans="1:37" x14ac:dyDescent="0.2">
      <c r="A31" s="11">
        <v>44774</v>
      </c>
      <c r="B31" s="12">
        <v>14</v>
      </c>
      <c r="C31" s="13">
        <f t="shared" si="12"/>
        <v>32</v>
      </c>
      <c r="D31" s="23">
        <f t="shared" si="1"/>
        <v>2520</v>
      </c>
      <c r="E31" s="57">
        <f t="shared" si="13"/>
        <v>5760</v>
      </c>
      <c r="F31" s="57">
        <f t="shared" si="14"/>
        <v>57780</v>
      </c>
      <c r="G31" s="14">
        <v>44827</v>
      </c>
      <c r="H31" s="15">
        <v>44874</v>
      </c>
      <c r="I31" s="24">
        <v>1800</v>
      </c>
      <c r="J31" s="58">
        <f t="shared" si="16"/>
        <v>3600</v>
      </c>
      <c r="K31" s="58">
        <f t="shared" si="11"/>
        <v>25600</v>
      </c>
      <c r="L31" s="14">
        <v>44802</v>
      </c>
      <c r="M31" s="15">
        <v>44809</v>
      </c>
      <c r="N31" s="86"/>
      <c r="O31" s="83"/>
      <c r="P31" s="83"/>
      <c r="Q31" s="84"/>
      <c r="R31" s="85"/>
      <c r="S31" s="138"/>
      <c r="T31" s="147"/>
      <c r="U31" s="143"/>
      <c r="V31" s="83"/>
      <c r="W31" s="83"/>
      <c r="X31" s="84"/>
      <c r="Y31" s="85"/>
      <c r="Z31" s="25">
        <f t="shared" si="2"/>
        <v>4320</v>
      </c>
      <c r="AA31" s="26">
        <f t="shared" si="15"/>
        <v>1052.3260799999998</v>
      </c>
      <c r="AB31" s="27">
        <f t="shared" si="3"/>
        <v>441.6612557759999</v>
      </c>
      <c r="AC31" s="27">
        <f t="shared" si="4"/>
        <v>1493.9873357759998</v>
      </c>
      <c r="AD31" s="27">
        <f t="shared" si="7"/>
        <v>29324.821875535999</v>
      </c>
      <c r="AE31" s="28">
        <v>1494</v>
      </c>
      <c r="AF31" s="30">
        <f t="shared" si="8"/>
        <v>-0.27218183593436152</v>
      </c>
      <c r="AG31" s="121"/>
      <c r="AH31" s="121"/>
      <c r="AI31" s="122"/>
      <c r="AJ31" s="123"/>
      <c r="AK31" s="9"/>
    </row>
    <row r="32" spans="1:37" x14ac:dyDescent="0.2">
      <c r="A32" s="11">
        <v>44805</v>
      </c>
      <c r="B32" s="12">
        <v>9</v>
      </c>
      <c r="C32" s="13">
        <f t="shared" si="12"/>
        <v>23</v>
      </c>
      <c r="D32" s="23">
        <f t="shared" si="1"/>
        <v>1620</v>
      </c>
      <c r="E32" s="57">
        <f t="shared" si="13"/>
        <v>4140</v>
      </c>
      <c r="F32" s="57">
        <f t="shared" si="14"/>
        <v>59400</v>
      </c>
      <c r="G32" s="14">
        <v>44841</v>
      </c>
      <c r="H32" s="15">
        <v>44893</v>
      </c>
      <c r="I32" s="24">
        <v>1800</v>
      </c>
      <c r="J32" s="58">
        <f t="shared" si="16"/>
        <v>1800</v>
      </c>
      <c r="K32" s="58">
        <f t="shared" si="11"/>
        <v>27400</v>
      </c>
      <c r="L32" s="14">
        <v>44832</v>
      </c>
      <c r="M32" s="15">
        <v>44845</v>
      </c>
      <c r="N32" s="86"/>
      <c r="O32" s="83"/>
      <c r="P32" s="83"/>
      <c r="Q32" s="84"/>
      <c r="R32" s="85"/>
      <c r="S32" s="138"/>
      <c r="T32" s="147"/>
      <c r="U32" s="143"/>
      <c r="V32" s="83"/>
      <c r="W32" s="83"/>
      <c r="X32" s="84"/>
      <c r="Y32" s="85"/>
      <c r="Z32" s="25">
        <f t="shared" si="2"/>
        <v>3420</v>
      </c>
      <c r="AA32" s="26">
        <f t="shared" si="15"/>
        <v>833.09147999999993</v>
      </c>
      <c r="AB32" s="27">
        <f t="shared" si="3"/>
        <v>349.64849415599991</v>
      </c>
      <c r="AC32" s="27">
        <f t="shared" si="4"/>
        <v>1182.7399741559998</v>
      </c>
      <c r="AD32" s="27">
        <f t="shared" si="7"/>
        <v>30507.561849692</v>
      </c>
      <c r="AE32" s="28">
        <v>1183</v>
      </c>
      <c r="AF32" s="30">
        <f t="shared" si="8"/>
        <v>-0.5322076799345723</v>
      </c>
      <c r="AG32" s="121"/>
      <c r="AH32" s="121"/>
      <c r="AI32" s="122"/>
      <c r="AJ32" s="123"/>
      <c r="AK32" s="9"/>
    </row>
    <row r="33" spans="1:38" x14ac:dyDescent="0.2">
      <c r="A33" s="11">
        <v>44835</v>
      </c>
      <c r="B33" s="12">
        <v>17</v>
      </c>
      <c r="C33" s="13">
        <f t="shared" si="12"/>
        <v>6</v>
      </c>
      <c r="D33" s="23">
        <f t="shared" si="1"/>
        <v>3060</v>
      </c>
      <c r="E33" s="57">
        <f t="shared" si="13"/>
        <v>1080</v>
      </c>
      <c r="F33" s="57">
        <f t="shared" si="14"/>
        <v>62460</v>
      </c>
      <c r="G33" s="14">
        <v>44876</v>
      </c>
      <c r="H33" s="15">
        <v>44918</v>
      </c>
      <c r="I33" s="24">
        <v>1800</v>
      </c>
      <c r="J33" s="58">
        <f t="shared" si="16"/>
        <v>0</v>
      </c>
      <c r="K33" s="58">
        <f t="shared" si="11"/>
        <v>29200</v>
      </c>
      <c r="L33" s="14">
        <v>44860</v>
      </c>
      <c r="M33" s="15">
        <v>44880</v>
      </c>
      <c r="N33" s="86"/>
      <c r="O33" s="83"/>
      <c r="P33" s="83"/>
      <c r="Q33" s="84"/>
      <c r="R33" s="85"/>
      <c r="S33" s="138"/>
      <c r="T33" s="147"/>
      <c r="U33" s="143"/>
      <c r="V33" s="83"/>
      <c r="W33" s="83"/>
      <c r="X33" s="84"/>
      <c r="Y33" s="85"/>
      <c r="Z33" s="25">
        <f t="shared" si="2"/>
        <v>4860</v>
      </c>
      <c r="AA33" s="26">
        <f t="shared" si="15"/>
        <v>1183.8668399999999</v>
      </c>
      <c r="AB33" s="27">
        <f t="shared" si="3"/>
        <v>496.8689127479999</v>
      </c>
      <c r="AC33" s="27">
        <f t="shared" si="4"/>
        <v>1680.7357527479999</v>
      </c>
      <c r="AD33" s="27">
        <f t="shared" si="7"/>
        <v>32188.297602439998</v>
      </c>
      <c r="AE33" s="28">
        <v>1680.11</v>
      </c>
      <c r="AF33" s="30">
        <f t="shared" si="8"/>
        <v>9.3545068065395753E-2</v>
      </c>
      <c r="AG33" s="121"/>
      <c r="AH33" s="121"/>
      <c r="AI33" s="122"/>
      <c r="AJ33" s="123"/>
      <c r="AK33" s="9"/>
    </row>
    <row r="34" spans="1:38" x14ac:dyDescent="0.2">
      <c r="A34" s="11">
        <v>44866</v>
      </c>
      <c r="B34" s="12">
        <v>9</v>
      </c>
      <c r="C34" s="13">
        <f>C33-B34+3</f>
        <v>0</v>
      </c>
      <c r="D34" s="23">
        <f t="shared" si="1"/>
        <v>1620</v>
      </c>
      <c r="E34" s="57">
        <f t="shared" si="13"/>
        <v>0</v>
      </c>
      <c r="F34" s="57">
        <f t="shared" si="14"/>
        <v>64080</v>
      </c>
      <c r="G34" s="14">
        <v>44902</v>
      </c>
      <c r="H34" s="15">
        <v>44977</v>
      </c>
      <c r="I34" s="73"/>
      <c r="J34" s="74"/>
      <c r="K34" s="74"/>
      <c r="L34" s="74"/>
      <c r="M34" s="75"/>
      <c r="N34" s="73"/>
      <c r="O34" s="74"/>
      <c r="P34" s="74"/>
      <c r="Q34" s="74"/>
      <c r="R34" s="75"/>
      <c r="S34" s="133"/>
      <c r="T34" s="74"/>
      <c r="U34" s="144"/>
      <c r="V34" s="74"/>
      <c r="W34" s="74"/>
      <c r="X34" s="74"/>
      <c r="Y34" s="75"/>
      <c r="Z34" s="25">
        <f t="shared" si="2"/>
        <v>1620</v>
      </c>
      <c r="AA34" s="26">
        <f t="shared" si="15"/>
        <v>394.62227999999999</v>
      </c>
      <c r="AB34" s="27">
        <f t="shared" si="3"/>
        <v>165.62297091599999</v>
      </c>
      <c r="AC34" s="27">
        <f t="shared" si="4"/>
        <v>560.24525091600003</v>
      </c>
      <c r="AD34" s="27">
        <f t="shared" si="7"/>
        <v>32748.542853355997</v>
      </c>
      <c r="AE34" s="28">
        <v>1E-3</v>
      </c>
      <c r="AF34" s="30">
        <f t="shared" si="8"/>
        <v>560.33779598406545</v>
      </c>
      <c r="AG34" s="121"/>
      <c r="AH34" s="121"/>
      <c r="AI34" s="122"/>
      <c r="AJ34" s="123"/>
      <c r="AK34" s="9"/>
    </row>
    <row r="35" spans="1:38" x14ac:dyDescent="0.2">
      <c r="A35" s="11">
        <v>44896</v>
      </c>
      <c r="B35" s="59"/>
      <c r="C35" s="60"/>
      <c r="D35" s="61"/>
      <c r="E35" s="62"/>
      <c r="F35" s="62"/>
      <c r="G35" s="63"/>
      <c r="H35" s="64"/>
      <c r="I35" s="70"/>
      <c r="J35" s="71"/>
      <c r="K35" s="71"/>
      <c r="L35" s="71"/>
      <c r="M35" s="72"/>
      <c r="N35" s="102">
        <v>3333.37</v>
      </c>
      <c r="O35" s="68">
        <f>$O$4-N35</f>
        <v>36666.629999999997</v>
      </c>
      <c r="P35" s="69">
        <f>N35</f>
        <v>3333.37</v>
      </c>
      <c r="Q35" s="14">
        <v>44915</v>
      </c>
      <c r="R35" s="15">
        <v>44957</v>
      </c>
      <c r="S35" s="134"/>
      <c r="T35" s="71"/>
      <c r="U35" s="145"/>
      <c r="V35" s="71"/>
      <c r="W35" s="71"/>
      <c r="X35" s="71"/>
      <c r="Y35" s="72"/>
      <c r="Z35" s="25">
        <f t="shared" ref="Z35:Z70" si="17">N35</f>
        <v>3333.37</v>
      </c>
      <c r="AA35" s="26">
        <f t="shared" si="15"/>
        <v>811.98893178000003</v>
      </c>
      <c r="AB35" s="27">
        <f t="shared" si="3"/>
        <v>340.79175466806601</v>
      </c>
      <c r="AC35" s="27">
        <f t="shared" si="4"/>
        <v>1152.780686448066</v>
      </c>
      <c r="AD35" s="27">
        <f t="shared" si="7"/>
        <v>33901.323539804063</v>
      </c>
      <c r="AE35" s="28">
        <v>1713.1</v>
      </c>
      <c r="AF35" s="30">
        <f t="shared" si="8"/>
        <v>1.8482432131577298E-2</v>
      </c>
      <c r="AG35" s="121"/>
      <c r="AH35" s="121"/>
      <c r="AI35" s="122"/>
      <c r="AJ35" s="123"/>
      <c r="AK35" s="9"/>
    </row>
    <row r="36" spans="1:38" x14ac:dyDescent="0.2">
      <c r="A36" s="16">
        <v>44927</v>
      </c>
      <c r="B36" s="59"/>
      <c r="C36" s="60"/>
      <c r="D36" s="61"/>
      <c r="E36" s="62"/>
      <c r="F36" s="62"/>
      <c r="G36" s="63"/>
      <c r="H36" s="64"/>
      <c r="I36" s="70"/>
      <c r="J36" s="71"/>
      <c r="K36" s="71"/>
      <c r="L36" s="71"/>
      <c r="M36" s="72"/>
      <c r="N36" s="102">
        <v>3333.37</v>
      </c>
      <c r="O36" s="68">
        <f t="shared" ref="O36:O45" si="18">O35-N35</f>
        <v>33333.259999999995</v>
      </c>
      <c r="P36" s="69">
        <f t="shared" ref="P36:P46" si="19">P35+N36</f>
        <v>6666.74</v>
      </c>
      <c r="Q36" s="14">
        <v>44946</v>
      </c>
      <c r="R36" s="15">
        <v>44978</v>
      </c>
      <c r="S36" s="134"/>
      <c r="T36" s="71"/>
      <c r="U36" s="145"/>
      <c r="V36" s="71"/>
      <c r="W36" s="71"/>
      <c r="X36" s="71"/>
      <c r="Y36" s="72"/>
      <c r="Z36" s="25">
        <f t="shared" si="17"/>
        <v>3333.37</v>
      </c>
      <c r="AA36" s="26">
        <f t="shared" si="15"/>
        <v>811.98893178000003</v>
      </c>
      <c r="AB36" s="27">
        <f t="shared" si="3"/>
        <v>340.79175466806601</v>
      </c>
      <c r="AC36" s="27">
        <f t="shared" si="4"/>
        <v>1152.780686448066</v>
      </c>
      <c r="AD36" s="27">
        <f t="shared" si="7"/>
        <v>35054.10422625213</v>
      </c>
      <c r="AE36" s="28">
        <v>1E-3</v>
      </c>
      <c r="AF36" s="30">
        <f t="shared" si="8"/>
        <v>1152.7981688801976</v>
      </c>
      <c r="AG36" s="121"/>
      <c r="AH36" s="121"/>
      <c r="AI36" s="122"/>
      <c r="AJ36" s="123"/>
      <c r="AK36" s="9"/>
    </row>
    <row r="37" spans="1:38" x14ac:dyDescent="0.2">
      <c r="A37" s="16">
        <v>44958</v>
      </c>
      <c r="B37" s="59"/>
      <c r="C37" s="60"/>
      <c r="D37" s="61"/>
      <c r="E37" s="62"/>
      <c r="F37" s="62"/>
      <c r="G37" s="63"/>
      <c r="H37" s="64"/>
      <c r="I37" s="70"/>
      <c r="J37" s="71"/>
      <c r="K37" s="71"/>
      <c r="L37" s="71"/>
      <c r="M37" s="72"/>
      <c r="N37" s="102">
        <v>3333.34</v>
      </c>
      <c r="O37" s="68">
        <f t="shared" si="18"/>
        <v>29999.889999999996</v>
      </c>
      <c r="P37" s="69">
        <f t="shared" si="19"/>
        <v>10000.08</v>
      </c>
      <c r="Q37" s="14">
        <v>44977</v>
      </c>
      <c r="R37" s="15">
        <v>45015</v>
      </c>
      <c r="S37" s="134"/>
      <c r="T37" s="71"/>
      <c r="U37" s="145"/>
      <c r="V37" s="71"/>
      <c r="W37" s="71"/>
      <c r="X37" s="71"/>
      <c r="Y37" s="72"/>
      <c r="Z37" s="25">
        <f t="shared" si="17"/>
        <v>3333.34</v>
      </c>
      <c r="AA37" s="26">
        <f t="shared" si="15"/>
        <v>811.98162395999998</v>
      </c>
      <c r="AB37" s="27">
        <f t="shared" si="3"/>
        <v>340.78868757601197</v>
      </c>
      <c r="AC37" s="27">
        <f t="shared" si="4"/>
        <v>1152.7703115360118</v>
      </c>
      <c r="AD37" s="27">
        <f t="shared" si="7"/>
        <v>36206.874537788142</v>
      </c>
      <c r="AE37" s="28">
        <v>2306</v>
      </c>
      <c r="AF37" s="30">
        <f t="shared" si="8"/>
        <v>-0.4315195837907595</v>
      </c>
      <c r="AG37" s="121"/>
      <c r="AH37" s="121"/>
      <c r="AI37" s="122"/>
      <c r="AJ37" s="123"/>
    </row>
    <row r="38" spans="1:38" x14ac:dyDescent="0.2">
      <c r="A38" s="16">
        <v>44986</v>
      </c>
      <c r="B38" s="59"/>
      <c r="C38" s="60"/>
      <c r="D38" s="61"/>
      <c r="E38" s="62"/>
      <c r="F38" s="62"/>
      <c r="G38" s="63"/>
      <c r="H38" s="64"/>
      <c r="I38" s="70"/>
      <c r="J38" s="71"/>
      <c r="K38" s="71"/>
      <c r="L38" s="71"/>
      <c r="M38" s="72"/>
      <c r="N38" s="102">
        <v>3333.34</v>
      </c>
      <c r="O38" s="68">
        <f t="shared" si="18"/>
        <v>26666.549999999996</v>
      </c>
      <c r="P38" s="69">
        <f t="shared" si="19"/>
        <v>13333.42</v>
      </c>
      <c r="Q38" s="14">
        <v>45005</v>
      </c>
      <c r="R38" s="15">
        <v>45049</v>
      </c>
      <c r="S38" s="134"/>
      <c r="T38" s="71"/>
      <c r="U38" s="145"/>
      <c r="V38" s="71"/>
      <c r="W38" s="71"/>
      <c r="X38" s="71"/>
      <c r="Y38" s="72"/>
      <c r="Z38" s="25">
        <f t="shared" si="17"/>
        <v>3333.34</v>
      </c>
      <c r="AA38" s="26">
        <f t="shared" si="15"/>
        <v>811.98162395999998</v>
      </c>
      <c r="AB38" s="27">
        <f t="shared" si="3"/>
        <v>340.78868757601197</v>
      </c>
      <c r="AC38" s="27">
        <f t="shared" si="4"/>
        <v>1152.7703115360118</v>
      </c>
      <c r="AD38" s="27">
        <f t="shared" si="7"/>
        <v>37359.644849324155</v>
      </c>
      <c r="AE38" s="28">
        <v>1E-3</v>
      </c>
      <c r="AF38" s="30">
        <f t="shared" si="8"/>
        <v>1152.3377919522211</v>
      </c>
      <c r="AG38" s="121"/>
      <c r="AH38" s="121"/>
      <c r="AI38" s="122"/>
      <c r="AJ38" s="123"/>
      <c r="AK38" s="1"/>
    </row>
    <row r="39" spans="1:38" x14ac:dyDescent="0.2">
      <c r="A39" s="16">
        <v>45017</v>
      </c>
      <c r="B39" s="59"/>
      <c r="C39" s="60"/>
      <c r="D39" s="61"/>
      <c r="E39" s="62"/>
      <c r="F39" s="62"/>
      <c r="G39" s="63"/>
      <c r="H39" s="64"/>
      <c r="I39" s="70"/>
      <c r="J39" s="71"/>
      <c r="K39" s="71"/>
      <c r="L39" s="71"/>
      <c r="M39" s="72"/>
      <c r="N39" s="102">
        <v>3333.34</v>
      </c>
      <c r="O39" s="68">
        <f t="shared" si="18"/>
        <v>23333.209999999995</v>
      </c>
      <c r="P39" s="69">
        <f t="shared" si="19"/>
        <v>16666.760000000002</v>
      </c>
      <c r="Q39" s="14">
        <v>45036</v>
      </c>
      <c r="R39" s="15">
        <v>45077</v>
      </c>
      <c r="S39" s="134"/>
      <c r="T39" s="71"/>
      <c r="U39" s="145"/>
      <c r="V39" s="71"/>
      <c r="W39" s="71"/>
      <c r="X39" s="71"/>
      <c r="Y39" s="72"/>
      <c r="Z39" s="25">
        <f t="shared" si="17"/>
        <v>3333.34</v>
      </c>
      <c r="AA39" s="26">
        <f t="shared" si="15"/>
        <v>811.98162395999998</v>
      </c>
      <c r="AB39" s="27">
        <f t="shared" si="3"/>
        <v>340.78868757601197</v>
      </c>
      <c r="AC39" s="27">
        <f t="shared" si="4"/>
        <v>1152.7703115360118</v>
      </c>
      <c r="AD39" s="27">
        <f t="shared" si="7"/>
        <v>38512.415160860168</v>
      </c>
      <c r="AE39" s="28">
        <v>1E-3</v>
      </c>
      <c r="AF39" s="30">
        <f t="shared" si="8"/>
        <v>2305.1071034882325</v>
      </c>
      <c r="AG39" s="121"/>
      <c r="AH39" s="121"/>
      <c r="AI39" s="122"/>
      <c r="AJ39" s="123"/>
      <c r="AK39" s="1"/>
    </row>
    <row r="40" spans="1:38" x14ac:dyDescent="0.2">
      <c r="A40" s="16">
        <v>45047</v>
      </c>
      <c r="B40" s="59"/>
      <c r="C40" s="60"/>
      <c r="D40" s="61"/>
      <c r="E40" s="62"/>
      <c r="F40" s="62"/>
      <c r="G40" s="63"/>
      <c r="H40" s="64"/>
      <c r="I40" s="70"/>
      <c r="J40" s="71"/>
      <c r="K40" s="71"/>
      <c r="L40" s="71"/>
      <c r="M40" s="72"/>
      <c r="N40" s="102">
        <v>3333.34</v>
      </c>
      <c r="O40" s="68">
        <f t="shared" si="18"/>
        <v>19999.869999999995</v>
      </c>
      <c r="P40" s="69">
        <f t="shared" si="19"/>
        <v>20000.100000000002</v>
      </c>
      <c r="Q40" s="14">
        <v>45066</v>
      </c>
      <c r="R40" s="15">
        <v>45106</v>
      </c>
      <c r="S40" s="134"/>
      <c r="T40" s="71"/>
      <c r="U40" s="145"/>
      <c r="V40" s="71"/>
      <c r="W40" s="71"/>
      <c r="X40" s="71"/>
      <c r="Y40" s="72"/>
      <c r="Z40" s="25">
        <f t="shared" si="17"/>
        <v>3333.34</v>
      </c>
      <c r="AA40" s="26">
        <f t="shared" si="15"/>
        <v>811.98162395999998</v>
      </c>
      <c r="AB40" s="27">
        <f t="shared" ref="AB40:AB71" si="20">AA40*41.97%</f>
        <v>340.78868757601197</v>
      </c>
      <c r="AC40" s="27">
        <f t="shared" ref="AC40:AC71" si="21">AA40+AB40</f>
        <v>1152.7703115360118</v>
      </c>
      <c r="AD40" s="27">
        <f t="shared" si="7"/>
        <v>39665.185472396181</v>
      </c>
      <c r="AE40" s="28">
        <v>3458</v>
      </c>
      <c r="AF40" s="30">
        <f t="shared" si="8"/>
        <v>-0.12258497575567162</v>
      </c>
      <c r="AG40" s="121"/>
      <c r="AH40" s="121"/>
      <c r="AI40" s="122"/>
      <c r="AJ40" s="123"/>
    </row>
    <row r="41" spans="1:38" x14ac:dyDescent="0.2">
      <c r="A41" s="16">
        <v>45078</v>
      </c>
      <c r="B41" s="59"/>
      <c r="C41" s="60"/>
      <c r="D41" s="61"/>
      <c r="E41" s="62"/>
      <c r="F41" s="62"/>
      <c r="G41" s="63"/>
      <c r="H41" s="64"/>
      <c r="I41" s="70"/>
      <c r="J41" s="71"/>
      <c r="K41" s="71"/>
      <c r="L41" s="71"/>
      <c r="M41" s="72"/>
      <c r="N41" s="102">
        <v>3333.34</v>
      </c>
      <c r="O41" s="68">
        <f t="shared" si="18"/>
        <v>16666.529999999995</v>
      </c>
      <c r="P41" s="69">
        <f t="shared" si="19"/>
        <v>23333.440000000002</v>
      </c>
      <c r="Q41" s="14">
        <v>45097</v>
      </c>
      <c r="R41" s="15">
        <v>45128</v>
      </c>
      <c r="S41" s="134"/>
      <c r="T41" s="71"/>
      <c r="U41" s="145"/>
      <c r="V41" s="71"/>
      <c r="W41" s="71"/>
      <c r="X41" s="71"/>
      <c r="Y41" s="72"/>
      <c r="Z41" s="25">
        <f t="shared" si="17"/>
        <v>3333.34</v>
      </c>
      <c r="AA41" s="26">
        <f t="shared" si="15"/>
        <v>811.98162395999998</v>
      </c>
      <c r="AB41" s="27">
        <f t="shared" si="20"/>
        <v>340.78868757601197</v>
      </c>
      <c r="AC41" s="27">
        <f t="shared" si="21"/>
        <v>1152.7703115360118</v>
      </c>
      <c r="AD41" s="27">
        <f t="shared" ref="AD41:AD72" si="22">AD40+AC41</f>
        <v>40817.955783932193</v>
      </c>
      <c r="AE41" s="28">
        <v>1E-3</v>
      </c>
      <c r="AF41" s="30">
        <f t="shared" ref="AF41:AF72" si="23">AF40+AC41-AE41</f>
        <v>1152.6467265602562</v>
      </c>
      <c r="AG41" s="121"/>
      <c r="AH41" s="121"/>
      <c r="AI41" s="122"/>
      <c r="AJ41" s="123"/>
      <c r="AK41" s="9"/>
    </row>
    <row r="42" spans="1:38" x14ac:dyDescent="0.2">
      <c r="A42" s="16">
        <v>45108</v>
      </c>
      <c r="B42" s="59"/>
      <c r="C42" s="60"/>
      <c r="D42" s="61"/>
      <c r="E42" s="62"/>
      <c r="F42" s="62"/>
      <c r="G42" s="63"/>
      <c r="H42" s="64"/>
      <c r="I42" s="70"/>
      <c r="J42" s="71"/>
      <c r="K42" s="71"/>
      <c r="L42" s="71"/>
      <c r="M42" s="72"/>
      <c r="N42" s="102">
        <v>3333.34</v>
      </c>
      <c r="O42" s="68">
        <f t="shared" si="18"/>
        <v>13333.189999999995</v>
      </c>
      <c r="P42" s="69">
        <f t="shared" si="19"/>
        <v>26666.780000000002</v>
      </c>
      <c r="Q42" s="14">
        <v>45127</v>
      </c>
      <c r="R42" s="15">
        <v>45149</v>
      </c>
      <c r="S42" s="134"/>
      <c r="T42" s="71"/>
      <c r="U42" s="145"/>
      <c r="V42" s="71"/>
      <c r="W42" s="71"/>
      <c r="X42" s="71"/>
      <c r="Y42" s="72"/>
      <c r="Z42" s="25">
        <f t="shared" si="17"/>
        <v>3333.34</v>
      </c>
      <c r="AA42" s="26">
        <f t="shared" si="15"/>
        <v>811.98162395999998</v>
      </c>
      <c r="AB42" s="27">
        <f t="shared" si="20"/>
        <v>340.78868757601197</v>
      </c>
      <c r="AC42" s="27">
        <f t="shared" si="21"/>
        <v>1152.7703115360118</v>
      </c>
      <c r="AD42" s="27">
        <f t="shared" si="22"/>
        <v>41970.726095468206</v>
      </c>
      <c r="AE42" s="28">
        <v>2305</v>
      </c>
      <c r="AF42" s="30">
        <f t="shared" si="23"/>
        <v>0.41703809626778821</v>
      </c>
      <c r="AG42" s="121"/>
      <c r="AH42" s="121"/>
      <c r="AI42" s="122"/>
      <c r="AJ42" s="123"/>
    </row>
    <row r="43" spans="1:38" x14ac:dyDescent="0.2">
      <c r="A43" s="16">
        <v>45139</v>
      </c>
      <c r="B43" s="59"/>
      <c r="C43" s="60"/>
      <c r="D43" s="61"/>
      <c r="E43" s="62"/>
      <c r="F43" s="62"/>
      <c r="G43" s="63"/>
      <c r="H43" s="64"/>
      <c r="I43" s="70"/>
      <c r="J43" s="71"/>
      <c r="K43" s="71"/>
      <c r="L43" s="71"/>
      <c r="M43" s="72"/>
      <c r="N43" s="102">
        <v>3333.34</v>
      </c>
      <c r="O43" s="68">
        <f t="shared" si="18"/>
        <v>9999.8499999999949</v>
      </c>
      <c r="P43" s="69">
        <f t="shared" si="19"/>
        <v>30000.120000000003</v>
      </c>
      <c r="Q43" s="14">
        <v>45158</v>
      </c>
      <c r="R43" s="15">
        <v>45197</v>
      </c>
      <c r="S43" s="134"/>
      <c r="T43" s="71"/>
      <c r="U43" s="145"/>
      <c r="V43" s="71"/>
      <c r="W43" s="71"/>
      <c r="X43" s="71"/>
      <c r="Y43" s="72"/>
      <c r="Z43" s="25">
        <f t="shared" si="17"/>
        <v>3333.34</v>
      </c>
      <c r="AA43" s="26">
        <f t="shared" si="15"/>
        <v>811.98162395999998</v>
      </c>
      <c r="AB43" s="27">
        <f t="shared" si="20"/>
        <v>340.78868757601197</v>
      </c>
      <c r="AC43" s="27">
        <f t="shared" si="21"/>
        <v>1152.7703115360118</v>
      </c>
      <c r="AD43" s="27">
        <f t="shared" si="22"/>
        <v>43123.496407004219</v>
      </c>
      <c r="AE43" s="28">
        <v>1E-3</v>
      </c>
      <c r="AF43" s="30">
        <f t="shared" si="23"/>
        <v>1153.1863496322796</v>
      </c>
      <c r="AG43" s="121"/>
      <c r="AH43" s="121"/>
      <c r="AI43" s="122"/>
      <c r="AJ43" s="123"/>
      <c r="AL43" s="17"/>
    </row>
    <row r="44" spans="1:38" x14ac:dyDescent="0.2">
      <c r="A44" s="16">
        <v>45170</v>
      </c>
      <c r="B44" s="59"/>
      <c r="C44" s="60"/>
      <c r="D44" s="61"/>
      <c r="E44" s="62"/>
      <c r="F44" s="62"/>
      <c r="G44" s="63"/>
      <c r="H44" s="64"/>
      <c r="I44" s="70"/>
      <c r="J44" s="71"/>
      <c r="K44" s="71"/>
      <c r="L44" s="71"/>
      <c r="M44" s="72"/>
      <c r="N44" s="102">
        <v>3333.34</v>
      </c>
      <c r="O44" s="68">
        <f t="shared" si="18"/>
        <v>6666.5099999999948</v>
      </c>
      <c r="P44" s="69">
        <f t="shared" si="19"/>
        <v>33333.460000000006</v>
      </c>
      <c r="Q44" s="14">
        <v>45189</v>
      </c>
      <c r="R44" s="15">
        <v>45226</v>
      </c>
      <c r="S44" s="134"/>
      <c r="T44" s="71"/>
      <c r="U44" s="145"/>
      <c r="V44" s="71"/>
      <c r="W44" s="71"/>
      <c r="X44" s="71"/>
      <c r="Y44" s="72"/>
      <c r="Z44" s="25">
        <f t="shared" si="17"/>
        <v>3333.34</v>
      </c>
      <c r="AA44" s="26">
        <f t="shared" si="15"/>
        <v>811.98162395999998</v>
      </c>
      <c r="AB44" s="27">
        <f t="shared" si="20"/>
        <v>340.78868757601197</v>
      </c>
      <c r="AC44" s="27">
        <f t="shared" si="21"/>
        <v>1152.7703115360118</v>
      </c>
      <c r="AD44" s="27">
        <f t="shared" si="22"/>
        <v>44276.266718540232</v>
      </c>
      <c r="AE44" s="28">
        <v>2306</v>
      </c>
      <c r="AF44" s="30">
        <f t="shared" si="23"/>
        <v>-4.3338831708751968E-2</v>
      </c>
      <c r="AG44" s="121"/>
      <c r="AH44" s="121"/>
      <c r="AI44" s="122"/>
      <c r="AJ44" s="123"/>
      <c r="AL44" s="17"/>
    </row>
    <row r="45" spans="1:38" x14ac:dyDescent="0.2">
      <c r="A45" s="16">
        <v>45200</v>
      </c>
      <c r="B45" s="59"/>
      <c r="C45" s="60"/>
      <c r="D45" s="61"/>
      <c r="E45" s="62"/>
      <c r="F45" s="62"/>
      <c r="G45" s="63"/>
      <c r="H45" s="64"/>
      <c r="I45" s="70"/>
      <c r="J45" s="71"/>
      <c r="K45" s="71"/>
      <c r="L45" s="71"/>
      <c r="M45" s="72"/>
      <c r="N45" s="102">
        <v>3333.34</v>
      </c>
      <c r="O45" s="68">
        <f t="shared" si="18"/>
        <v>3333.1699999999946</v>
      </c>
      <c r="P45" s="69">
        <f t="shared" si="19"/>
        <v>36666.800000000003</v>
      </c>
      <c r="Q45" s="14">
        <v>45219</v>
      </c>
      <c r="R45" s="15">
        <v>45254</v>
      </c>
      <c r="S45" s="134"/>
      <c r="T45" s="71"/>
      <c r="U45" s="145"/>
      <c r="V45" s="71"/>
      <c r="W45" s="71"/>
      <c r="X45" s="71"/>
      <c r="Y45" s="72"/>
      <c r="Z45" s="25">
        <f t="shared" si="17"/>
        <v>3333.34</v>
      </c>
      <c r="AA45" s="26">
        <f t="shared" si="15"/>
        <v>811.98162395999998</v>
      </c>
      <c r="AB45" s="27">
        <f t="shared" si="20"/>
        <v>340.78868757601197</v>
      </c>
      <c r="AC45" s="27">
        <f t="shared" si="21"/>
        <v>1152.7703115360118</v>
      </c>
      <c r="AD45" s="27">
        <f t="shared" si="22"/>
        <v>45429.037030076244</v>
      </c>
      <c r="AE45" s="28">
        <v>1E-3</v>
      </c>
      <c r="AF45" s="30">
        <f t="shared" si="23"/>
        <v>1152.7259727043031</v>
      </c>
      <c r="AG45" s="121"/>
      <c r="AH45" s="121"/>
      <c r="AI45" s="122"/>
      <c r="AJ45" s="123"/>
      <c r="AL45" s="17"/>
    </row>
    <row r="46" spans="1:38" x14ac:dyDescent="0.2">
      <c r="A46" s="16">
        <v>45231</v>
      </c>
      <c r="B46" s="59"/>
      <c r="C46" s="60"/>
      <c r="D46" s="61"/>
      <c r="E46" s="62"/>
      <c r="F46" s="62"/>
      <c r="G46" s="63"/>
      <c r="H46" s="64"/>
      <c r="I46" s="70"/>
      <c r="J46" s="71"/>
      <c r="K46" s="71"/>
      <c r="L46" s="71"/>
      <c r="M46" s="72"/>
      <c r="N46" s="102">
        <v>3333.2</v>
      </c>
      <c r="O46" s="68">
        <v>0</v>
      </c>
      <c r="P46" s="69">
        <f t="shared" si="19"/>
        <v>40000</v>
      </c>
      <c r="Q46" s="14">
        <v>45250</v>
      </c>
      <c r="R46" s="15">
        <v>45282</v>
      </c>
      <c r="S46" s="134"/>
      <c r="T46" s="71"/>
      <c r="U46" s="145"/>
      <c r="V46" s="71"/>
      <c r="W46" s="71"/>
      <c r="X46" s="71"/>
      <c r="Y46" s="72"/>
      <c r="Z46" s="25">
        <f t="shared" si="17"/>
        <v>3333.2</v>
      </c>
      <c r="AA46" s="26">
        <f t="shared" si="15"/>
        <v>811.94752079999989</v>
      </c>
      <c r="AB46" s="27">
        <f t="shared" si="20"/>
        <v>340.7743744797599</v>
      </c>
      <c r="AC46" s="27">
        <f t="shared" si="21"/>
        <v>1152.7218952797598</v>
      </c>
      <c r="AD46" s="27">
        <f t="shared" si="22"/>
        <v>46581.758925356007</v>
      </c>
      <c r="AE46" s="28">
        <v>2305.4</v>
      </c>
      <c r="AF46" s="30">
        <f t="shared" si="23"/>
        <v>4.7867984063032054E-2</v>
      </c>
      <c r="AG46" s="121"/>
      <c r="AH46" s="121"/>
      <c r="AI46" s="122"/>
      <c r="AJ46" s="123"/>
      <c r="AK46" s="9"/>
      <c r="AL46" s="17"/>
    </row>
    <row r="47" spans="1:38" x14ac:dyDescent="0.2">
      <c r="A47" s="16">
        <v>45261</v>
      </c>
      <c r="B47" s="70"/>
      <c r="C47" s="71"/>
      <c r="D47" s="71"/>
      <c r="E47" s="71"/>
      <c r="F47" s="71"/>
      <c r="G47" s="71"/>
      <c r="H47" s="71"/>
      <c r="I47" s="70"/>
      <c r="J47" s="71"/>
      <c r="K47" s="71"/>
      <c r="L47" s="71"/>
      <c r="M47" s="72"/>
      <c r="N47" s="102">
        <v>3333.34</v>
      </c>
      <c r="O47" s="68">
        <f>$O$4-N47</f>
        <v>36666.660000000003</v>
      </c>
      <c r="P47" s="69">
        <f>N47</f>
        <v>3333.34</v>
      </c>
      <c r="Q47" s="14">
        <v>45280</v>
      </c>
      <c r="R47" s="15">
        <v>45320</v>
      </c>
      <c r="S47" s="134"/>
      <c r="T47" s="71"/>
      <c r="U47" s="145"/>
      <c r="V47" s="71"/>
      <c r="W47" s="71"/>
      <c r="X47" s="71"/>
      <c r="Y47" s="72"/>
      <c r="Z47" s="25">
        <f t="shared" si="17"/>
        <v>3333.34</v>
      </c>
      <c r="AA47" s="26">
        <f t="shared" si="15"/>
        <v>811.98162395999998</v>
      </c>
      <c r="AB47" s="27">
        <f t="shared" si="20"/>
        <v>340.78868757601197</v>
      </c>
      <c r="AC47" s="27">
        <f t="shared" si="21"/>
        <v>1152.7703115360118</v>
      </c>
      <c r="AD47" s="27">
        <f t="shared" si="22"/>
        <v>47734.52923689202</v>
      </c>
      <c r="AE47" s="28">
        <v>1E-3</v>
      </c>
      <c r="AF47" s="30">
        <f t="shared" si="23"/>
        <v>1152.8171795200749</v>
      </c>
      <c r="AG47" s="121"/>
      <c r="AH47" s="121"/>
      <c r="AI47" s="122"/>
      <c r="AJ47" s="123"/>
      <c r="AL47" s="17"/>
    </row>
    <row r="48" spans="1:38" x14ac:dyDescent="0.2">
      <c r="A48" s="11">
        <v>45292</v>
      </c>
      <c r="B48" s="70"/>
      <c r="C48" s="71"/>
      <c r="D48" s="71"/>
      <c r="E48" s="71"/>
      <c r="F48" s="71"/>
      <c r="G48" s="71"/>
      <c r="H48" s="71"/>
      <c r="I48" s="70"/>
      <c r="J48" s="71"/>
      <c r="K48" s="71"/>
      <c r="L48" s="71"/>
      <c r="M48" s="72"/>
      <c r="N48" s="102">
        <v>3333.34</v>
      </c>
      <c r="O48" s="68">
        <f t="shared" ref="O48:O58" si="24">O47-N48</f>
        <v>33333.320000000007</v>
      </c>
      <c r="P48" s="69">
        <f t="shared" ref="P48:P58" si="25">P47+N48</f>
        <v>6666.68</v>
      </c>
      <c r="Q48" s="14">
        <v>45313</v>
      </c>
      <c r="R48" s="15">
        <v>45348</v>
      </c>
      <c r="S48" s="134"/>
      <c r="T48" s="71"/>
      <c r="U48" s="145"/>
      <c r="V48" s="71"/>
      <c r="W48" s="71"/>
      <c r="X48" s="71"/>
      <c r="Y48" s="72"/>
      <c r="Z48" s="25">
        <f t="shared" si="17"/>
        <v>3333.34</v>
      </c>
      <c r="AA48" s="26">
        <f t="shared" si="15"/>
        <v>811.98162395999998</v>
      </c>
      <c r="AB48" s="27">
        <f t="shared" si="20"/>
        <v>340.78868757601197</v>
      </c>
      <c r="AC48" s="27">
        <f t="shared" si="21"/>
        <v>1152.7703115360118</v>
      </c>
      <c r="AD48" s="27">
        <f t="shared" si="22"/>
        <v>48887.299548428033</v>
      </c>
      <c r="AE48" s="28">
        <v>2306</v>
      </c>
      <c r="AF48" s="30">
        <f t="shared" si="23"/>
        <v>-0.41250894391305337</v>
      </c>
      <c r="AG48" s="121"/>
      <c r="AH48" s="121"/>
      <c r="AI48" s="122"/>
      <c r="AJ48" s="123"/>
      <c r="AL48" s="17"/>
    </row>
    <row r="49" spans="1:39" x14ac:dyDescent="0.2">
      <c r="A49" s="11">
        <v>45323</v>
      </c>
      <c r="B49" s="70"/>
      <c r="C49" s="71"/>
      <c r="D49" s="71"/>
      <c r="E49" s="71"/>
      <c r="F49" s="71"/>
      <c r="G49" s="71"/>
      <c r="H49" s="71"/>
      <c r="I49" s="70"/>
      <c r="J49" s="71"/>
      <c r="K49" s="71"/>
      <c r="L49" s="71"/>
      <c r="M49" s="72"/>
      <c r="N49" s="102">
        <v>3333.34</v>
      </c>
      <c r="O49" s="68">
        <f t="shared" si="24"/>
        <v>29999.980000000007</v>
      </c>
      <c r="P49" s="69">
        <f t="shared" si="25"/>
        <v>10000.02</v>
      </c>
      <c r="Q49" s="14">
        <v>45342</v>
      </c>
      <c r="R49" s="15">
        <v>45378</v>
      </c>
      <c r="S49" s="134"/>
      <c r="T49" s="71"/>
      <c r="U49" s="145"/>
      <c r="V49" s="71"/>
      <c r="W49" s="71"/>
      <c r="X49" s="71"/>
      <c r="Y49" s="72"/>
      <c r="Z49" s="25">
        <f t="shared" si="17"/>
        <v>3333.34</v>
      </c>
      <c r="AA49" s="26">
        <f t="shared" si="15"/>
        <v>811.98162395999998</v>
      </c>
      <c r="AB49" s="27">
        <f t="shared" si="20"/>
        <v>340.78868757601197</v>
      </c>
      <c r="AC49" s="27">
        <f t="shared" si="21"/>
        <v>1152.7703115360118</v>
      </c>
      <c r="AD49" s="27">
        <f t="shared" si="22"/>
        <v>50040.069859964045</v>
      </c>
      <c r="AE49" s="28">
        <v>1152.4000000000001</v>
      </c>
      <c r="AF49" s="30">
        <f t="shared" si="23"/>
        <v>-4.2197407901312545E-2</v>
      </c>
      <c r="AG49" s="121"/>
      <c r="AH49" s="121"/>
      <c r="AI49" s="122"/>
      <c r="AJ49" s="123"/>
      <c r="AL49" s="17"/>
    </row>
    <row r="50" spans="1:39" x14ac:dyDescent="0.2">
      <c r="A50" s="11">
        <v>45352</v>
      </c>
      <c r="B50" s="70"/>
      <c r="C50" s="71"/>
      <c r="D50" s="71"/>
      <c r="E50" s="71"/>
      <c r="F50" s="71"/>
      <c r="G50" s="71"/>
      <c r="H50" s="71"/>
      <c r="I50" s="70"/>
      <c r="J50" s="71"/>
      <c r="K50" s="71"/>
      <c r="L50" s="71"/>
      <c r="M50" s="72"/>
      <c r="N50" s="102">
        <v>3333.34</v>
      </c>
      <c r="O50" s="68">
        <f t="shared" si="24"/>
        <v>26666.640000000007</v>
      </c>
      <c r="P50" s="69">
        <f t="shared" si="25"/>
        <v>13333.36</v>
      </c>
      <c r="Q50" s="14">
        <v>45371</v>
      </c>
      <c r="R50" s="15">
        <v>45406</v>
      </c>
      <c r="S50" s="134"/>
      <c r="T50" s="71"/>
      <c r="U50" s="145"/>
      <c r="V50" s="71"/>
      <c r="W50" s="71"/>
      <c r="X50" s="71"/>
      <c r="Y50" s="72"/>
      <c r="Z50" s="25">
        <f t="shared" si="17"/>
        <v>3333.34</v>
      </c>
      <c r="AA50" s="26">
        <f t="shared" si="15"/>
        <v>811.98162395999998</v>
      </c>
      <c r="AB50" s="27">
        <f t="shared" si="20"/>
        <v>340.78868757601197</v>
      </c>
      <c r="AC50" s="27">
        <f t="shared" si="21"/>
        <v>1152.7703115360118</v>
      </c>
      <c r="AD50" s="27">
        <f t="shared" si="22"/>
        <v>51192.840171500058</v>
      </c>
      <c r="AE50" s="28">
        <v>1E-3</v>
      </c>
      <c r="AF50" s="30">
        <f t="shared" si="23"/>
        <v>1152.7271141281105</v>
      </c>
      <c r="AG50" s="121"/>
      <c r="AH50" s="121"/>
      <c r="AI50" s="122"/>
      <c r="AJ50" s="123"/>
      <c r="AL50" s="1"/>
    </row>
    <row r="51" spans="1:39" x14ac:dyDescent="0.2">
      <c r="A51" s="11">
        <v>45383</v>
      </c>
      <c r="B51" s="70"/>
      <c r="C51" s="71"/>
      <c r="D51" s="71"/>
      <c r="E51" s="71"/>
      <c r="F51" s="71"/>
      <c r="G51" s="71"/>
      <c r="H51" s="71"/>
      <c r="I51" s="70"/>
      <c r="J51" s="71"/>
      <c r="K51" s="71"/>
      <c r="L51" s="71"/>
      <c r="M51" s="72"/>
      <c r="N51" s="102">
        <v>3333.34</v>
      </c>
      <c r="O51" s="68">
        <f t="shared" si="24"/>
        <v>23333.300000000007</v>
      </c>
      <c r="P51" s="69">
        <f t="shared" si="25"/>
        <v>16666.7</v>
      </c>
      <c r="Q51" s="14">
        <v>45404</v>
      </c>
      <c r="R51" s="15">
        <v>45440</v>
      </c>
      <c r="S51" s="134"/>
      <c r="T51" s="71"/>
      <c r="U51" s="145"/>
      <c r="V51" s="71"/>
      <c r="W51" s="71"/>
      <c r="X51" s="71"/>
      <c r="Y51" s="72"/>
      <c r="Z51" s="25">
        <f t="shared" si="17"/>
        <v>3333.34</v>
      </c>
      <c r="AA51" s="26">
        <f t="shared" si="15"/>
        <v>811.98162395999998</v>
      </c>
      <c r="AB51" s="27">
        <f t="shared" si="20"/>
        <v>340.78868757601197</v>
      </c>
      <c r="AC51" s="27">
        <f t="shared" si="21"/>
        <v>1152.7703115360118</v>
      </c>
      <c r="AD51" s="27">
        <f t="shared" si="22"/>
        <v>52345.610483036071</v>
      </c>
      <c r="AE51" s="28">
        <v>2305.4</v>
      </c>
      <c r="AF51" s="30">
        <f t="shared" si="23"/>
        <v>9.742566412251108E-2</v>
      </c>
      <c r="AG51" s="121"/>
      <c r="AH51" s="121"/>
      <c r="AI51" s="122"/>
      <c r="AJ51" s="123"/>
    </row>
    <row r="52" spans="1:39" x14ac:dyDescent="0.2">
      <c r="A52" s="11">
        <v>45413</v>
      </c>
      <c r="B52" s="70"/>
      <c r="C52" s="71"/>
      <c r="D52" s="71"/>
      <c r="E52" s="71"/>
      <c r="F52" s="71"/>
      <c r="G52" s="71"/>
      <c r="H52" s="71"/>
      <c r="I52" s="70"/>
      <c r="J52" s="71"/>
      <c r="K52" s="71"/>
      <c r="L52" s="71"/>
      <c r="M52" s="72"/>
      <c r="N52" s="102">
        <v>3333.34</v>
      </c>
      <c r="O52" s="68">
        <f t="shared" si="24"/>
        <v>19999.960000000006</v>
      </c>
      <c r="P52" s="69">
        <f t="shared" si="25"/>
        <v>20000.04</v>
      </c>
      <c r="Q52" s="14">
        <v>45432</v>
      </c>
      <c r="R52" s="15">
        <v>45469</v>
      </c>
      <c r="S52" s="134"/>
      <c r="T52" s="71"/>
      <c r="U52" s="145"/>
      <c r="V52" s="71"/>
      <c r="W52" s="71"/>
      <c r="X52" s="71"/>
      <c r="Y52" s="72"/>
      <c r="Z52" s="25">
        <f t="shared" si="17"/>
        <v>3333.34</v>
      </c>
      <c r="AA52" s="26">
        <f t="shared" si="15"/>
        <v>811.98162395999998</v>
      </c>
      <c r="AB52" s="27">
        <f t="shared" si="20"/>
        <v>340.78868757601197</v>
      </c>
      <c r="AC52" s="27">
        <f t="shared" si="21"/>
        <v>1152.7703115360118</v>
      </c>
      <c r="AD52" s="27">
        <f t="shared" si="22"/>
        <v>53498.380794572084</v>
      </c>
      <c r="AE52" s="28">
        <v>1E-3</v>
      </c>
      <c r="AF52" s="30">
        <f t="shared" si="23"/>
        <v>1152.8667372001344</v>
      </c>
      <c r="AG52" s="121"/>
      <c r="AH52" s="121"/>
      <c r="AI52" s="122"/>
      <c r="AJ52" s="123"/>
    </row>
    <row r="53" spans="1:39" x14ac:dyDescent="0.2">
      <c r="A53" s="11">
        <v>45444</v>
      </c>
      <c r="B53" s="70"/>
      <c r="C53" s="71"/>
      <c r="D53" s="71"/>
      <c r="E53" s="71"/>
      <c r="F53" s="71"/>
      <c r="G53" s="71"/>
      <c r="H53" s="71"/>
      <c r="I53" s="70"/>
      <c r="J53" s="71"/>
      <c r="K53" s="71"/>
      <c r="L53" s="71"/>
      <c r="M53" s="72"/>
      <c r="N53" s="102">
        <v>3333.34</v>
      </c>
      <c r="O53" s="68">
        <f t="shared" si="24"/>
        <v>16666.620000000006</v>
      </c>
      <c r="P53" s="69">
        <f t="shared" si="25"/>
        <v>23333.38</v>
      </c>
      <c r="Q53" s="14">
        <v>45463</v>
      </c>
      <c r="R53" s="15">
        <v>45499</v>
      </c>
      <c r="S53" s="134"/>
      <c r="T53" s="71"/>
      <c r="U53" s="145"/>
      <c r="V53" s="71"/>
      <c r="W53" s="71"/>
      <c r="X53" s="71"/>
      <c r="Y53" s="72"/>
      <c r="Z53" s="25">
        <f t="shared" si="17"/>
        <v>3333.34</v>
      </c>
      <c r="AA53" s="26">
        <f t="shared" si="15"/>
        <v>811.98162395999998</v>
      </c>
      <c r="AB53" s="27">
        <f t="shared" si="20"/>
        <v>340.78868757601197</v>
      </c>
      <c r="AC53" s="27">
        <f t="shared" si="21"/>
        <v>1152.7703115360118</v>
      </c>
      <c r="AD53" s="27">
        <f t="shared" si="22"/>
        <v>54651.151106108096</v>
      </c>
      <c r="AE53" s="28">
        <v>1E-3</v>
      </c>
      <c r="AF53" s="30">
        <f t="shared" si="23"/>
        <v>2305.6360487361462</v>
      </c>
      <c r="AG53" s="121"/>
      <c r="AH53" s="121"/>
      <c r="AI53" s="122"/>
      <c r="AJ53" s="123"/>
    </row>
    <row r="54" spans="1:39" x14ac:dyDescent="0.2">
      <c r="A54" s="11">
        <v>45474</v>
      </c>
      <c r="B54" s="70"/>
      <c r="C54" s="71"/>
      <c r="D54" s="71"/>
      <c r="E54" s="71"/>
      <c r="F54" s="71"/>
      <c r="G54" s="71"/>
      <c r="H54" s="71"/>
      <c r="I54" s="70"/>
      <c r="J54" s="71"/>
      <c r="K54" s="71"/>
      <c r="L54" s="71"/>
      <c r="M54" s="72"/>
      <c r="N54" s="102">
        <v>3333.34</v>
      </c>
      <c r="O54" s="68">
        <f t="shared" si="24"/>
        <v>13333.280000000006</v>
      </c>
      <c r="P54" s="69">
        <f t="shared" si="25"/>
        <v>26666.720000000001</v>
      </c>
      <c r="Q54" s="14">
        <v>45493</v>
      </c>
      <c r="R54" s="15">
        <v>45538</v>
      </c>
      <c r="S54" s="134"/>
      <c r="T54" s="71"/>
      <c r="U54" s="145"/>
      <c r="V54" s="71"/>
      <c r="W54" s="71"/>
      <c r="X54" s="71"/>
      <c r="Y54" s="72"/>
      <c r="Z54" s="25">
        <f t="shared" si="17"/>
        <v>3333.34</v>
      </c>
      <c r="AA54" s="26">
        <f t="shared" si="15"/>
        <v>811.98162395999998</v>
      </c>
      <c r="AB54" s="27">
        <f t="shared" si="20"/>
        <v>340.78868757601197</v>
      </c>
      <c r="AC54" s="27">
        <f t="shared" si="21"/>
        <v>1152.7703115360118</v>
      </c>
      <c r="AD54" s="27">
        <f t="shared" si="22"/>
        <v>55803.921417644109</v>
      </c>
      <c r="AE54" s="28">
        <v>3458.4</v>
      </c>
      <c r="AF54" s="30">
        <f t="shared" si="23"/>
        <v>6.3602721579627541E-3</v>
      </c>
      <c r="AG54" s="121"/>
      <c r="AH54" s="121"/>
      <c r="AI54" s="122"/>
      <c r="AJ54" s="123"/>
    </row>
    <row r="55" spans="1:39" x14ac:dyDescent="0.2">
      <c r="A55" s="11">
        <v>45505</v>
      </c>
      <c r="B55" s="70"/>
      <c r="C55" s="71"/>
      <c r="D55" s="71"/>
      <c r="E55" s="71"/>
      <c r="F55" s="71"/>
      <c r="G55" s="71"/>
      <c r="H55" s="71"/>
      <c r="I55" s="70"/>
      <c r="J55" s="71"/>
      <c r="K55" s="71"/>
      <c r="L55" s="71"/>
      <c r="M55" s="72"/>
      <c r="N55" s="102">
        <v>3333.34</v>
      </c>
      <c r="O55" s="68">
        <f t="shared" si="24"/>
        <v>9999.940000000006</v>
      </c>
      <c r="P55" s="69">
        <f t="shared" si="25"/>
        <v>30000.06</v>
      </c>
      <c r="Q55" s="14">
        <v>45524</v>
      </c>
      <c r="R55" s="15">
        <v>45565</v>
      </c>
      <c r="S55" s="134"/>
      <c r="T55" s="71"/>
      <c r="U55" s="145"/>
      <c r="V55" s="71"/>
      <c r="W55" s="71"/>
      <c r="X55" s="71"/>
      <c r="Y55" s="72"/>
      <c r="Z55" s="25">
        <f t="shared" si="17"/>
        <v>3333.34</v>
      </c>
      <c r="AA55" s="26">
        <f t="shared" si="15"/>
        <v>811.98162395999998</v>
      </c>
      <c r="AB55" s="27">
        <f t="shared" si="20"/>
        <v>340.78868757601197</v>
      </c>
      <c r="AC55" s="27">
        <f t="shared" si="21"/>
        <v>1152.7703115360118</v>
      </c>
      <c r="AD55" s="27">
        <f t="shared" si="22"/>
        <v>56956.691729180122</v>
      </c>
      <c r="AE55" s="28">
        <v>1E-3</v>
      </c>
      <c r="AF55" s="30">
        <f t="shared" si="23"/>
        <v>1152.7756718081698</v>
      </c>
      <c r="AG55" s="121"/>
      <c r="AH55" s="121"/>
      <c r="AI55" s="122"/>
      <c r="AJ55" s="123"/>
      <c r="AM55" s="105"/>
    </row>
    <row r="56" spans="1:39" ht="15" customHeight="1" x14ac:dyDescent="0.2">
      <c r="A56" s="11">
        <v>45536</v>
      </c>
      <c r="B56" s="70"/>
      <c r="C56" s="71"/>
      <c r="D56" s="71"/>
      <c r="E56" s="71"/>
      <c r="F56" s="71"/>
      <c r="G56" s="71"/>
      <c r="H56" s="71"/>
      <c r="I56" s="70"/>
      <c r="J56" s="71"/>
      <c r="K56" s="71"/>
      <c r="L56" s="71"/>
      <c r="M56" s="72"/>
      <c r="N56" s="102">
        <v>3333.34</v>
      </c>
      <c r="O56" s="68">
        <f t="shared" si="24"/>
        <v>6666.6000000000058</v>
      </c>
      <c r="P56" s="69">
        <f t="shared" si="25"/>
        <v>33333.4</v>
      </c>
      <c r="Q56" s="14">
        <v>45555</v>
      </c>
      <c r="R56" s="15">
        <v>45596</v>
      </c>
      <c r="S56" s="134"/>
      <c r="T56" s="71"/>
      <c r="U56" s="145"/>
      <c r="V56" s="71"/>
      <c r="W56" s="71"/>
      <c r="X56" s="71"/>
      <c r="Y56" s="72"/>
      <c r="Z56" s="25">
        <f t="shared" si="17"/>
        <v>3333.34</v>
      </c>
      <c r="AA56" s="26">
        <f t="shared" si="15"/>
        <v>811.98162395999998</v>
      </c>
      <c r="AB56" s="27">
        <f t="shared" si="20"/>
        <v>340.78868757601197</v>
      </c>
      <c r="AC56" s="27">
        <f t="shared" si="21"/>
        <v>1152.7703115360118</v>
      </c>
      <c r="AD56" s="27">
        <f t="shared" si="22"/>
        <v>58109.462040716135</v>
      </c>
      <c r="AE56" s="28">
        <v>1E-3</v>
      </c>
      <c r="AF56" s="30">
        <f t="shared" si="23"/>
        <v>2305.5449833441817</v>
      </c>
      <c r="AG56" s="121"/>
      <c r="AH56" s="121"/>
      <c r="AI56" s="122"/>
      <c r="AJ56" s="123"/>
    </row>
    <row r="57" spans="1:39" x14ac:dyDescent="0.2">
      <c r="A57" s="11">
        <v>45566</v>
      </c>
      <c r="B57" s="70"/>
      <c r="C57" s="71"/>
      <c r="D57" s="71"/>
      <c r="E57" s="71"/>
      <c r="F57" s="71"/>
      <c r="G57" s="71"/>
      <c r="H57" s="71"/>
      <c r="I57" s="70"/>
      <c r="J57" s="71"/>
      <c r="K57" s="71"/>
      <c r="L57" s="71"/>
      <c r="M57" s="72"/>
      <c r="N57" s="102">
        <v>3333.34</v>
      </c>
      <c r="O57" s="68">
        <f t="shared" si="24"/>
        <v>3333.2600000000057</v>
      </c>
      <c r="P57" s="69">
        <f t="shared" si="25"/>
        <v>36666.740000000005</v>
      </c>
      <c r="Q57" s="14">
        <v>45587</v>
      </c>
      <c r="R57" s="15">
        <v>45623</v>
      </c>
      <c r="S57" s="134"/>
      <c r="T57" s="71"/>
      <c r="U57" s="145"/>
      <c r="V57" s="71"/>
      <c r="W57" s="71"/>
      <c r="X57" s="71"/>
      <c r="Y57" s="72"/>
      <c r="Z57" s="25">
        <f t="shared" si="17"/>
        <v>3333.34</v>
      </c>
      <c r="AA57" s="26">
        <f t="shared" si="15"/>
        <v>811.98162395999998</v>
      </c>
      <c r="AB57" s="27">
        <f t="shared" si="20"/>
        <v>340.78868757601197</v>
      </c>
      <c r="AC57" s="27">
        <f t="shared" si="21"/>
        <v>1152.7703115360118</v>
      </c>
      <c r="AD57" s="27">
        <f t="shared" si="22"/>
        <v>59262.232352252147</v>
      </c>
      <c r="AE57" s="28">
        <v>3458</v>
      </c>
      <c r="AF57" s="30">
        <f t="shared" si="23"/>
        <v>0.31529488019350538</v>
      </c>
      <c r="AG57" s="121"/>
      <c r="AH57" s="121"/>
      <c r="AI57" s="122"/>
      <c r="AJ57" s="123"/>
    </row>
    <row r="58" spans="1:39" x14ac:dyDescent="0.2">
      <c r="A58" s="11">
        <v>45597</v>
      </c>
      <c r="B58" s="70"/>
      <c r="C58" s="71"/>
      <c r="D58" s="71"/>
      <c r="E58" s="71"/>
      <c r="F58" s="71"/>
      <c r="G58" s="71"/>
      <c r="H58" s="71"/>
      <c r="I58" s="70"/>
      <c r="J58" s="71"/>
      <c r="K58" s="71"/>
      <c r="L58" s="71"/>
      <c r="M58" s="72"/>
      <c r="N58" s="102">
        <v>3333.26</v>
      </c>
      <c r="O58" s="68">
        <f t="shared" si="24"/>
        <v>5.4569682106375694E-12</v>
      </c>
      <c r="P58" s="69">
        <f t="shared" si="25"/>
        <v>40000.000000000007</v>
      </c>
      <c r="Q58" s="14">
        <v>45616</v>
      </c>
      <c r="R58" s="15">
        <v>45644</v>
      </c>
      <c r="S58" s="134"/>
      <c r="T58" s="71"/>
      <c r="U58" s="145"/>
      <c r="V58" s="71"/>
      <c r="W58" s="71"/>
      <c r="X58" s="71"/>
      <c r="Y58" s="72"/>
      <c r="Z58" s="25">
        <f t="shared" si="17"/>
        <v>3333.26</v>
      </c>
      <c r="AA58" s="26">
        <f t="shared" si="15"/>
        <v>811.96213644000011</v>
      </c>
      <c r="AB58" s="27">
        <f t="shared" si="20"/>
        <v>340.78050866386803</v>
      </c>
      <c r="AC58" s="27">
        <f t="shared" si="21"/>
        <v>1152.7426451038682</v>
      </c>
      <c r="AD58" s="27">
        <f t="shared" si="22"/>
        <v>60414.974997356017</v>
      </c>
      <c r="AE58" s="106">
        <v>1E-3</v>
      </c>
      <c r="AF58" s="30">
        <f t="shared" si="23"/>
        <v>1153.0569399840617</v>
      </c>
      <c r="AG58" s="121"/>
      <c r="AH58" s="121"/>
      <c r="AI58" s="122"/>
      <c r="AJ58" s="123"/>
    </row>
    <row r="59" spans="1:39" x14ac:dyDescent="0.2">
      <c r="A59" s="11">
        <v>45627</v>
      </c>
      <c r="B59" s="70"/>
      <c r="C59" s="71"/>
      <c r="D59" s="71"/>
      <c r="E59" s="71"/>
      <c r="F59" s="71"/>
      <c r="G59" s="71"/>
      <c r="H59" s="71"/>
      <c r="I59" s="70"/>
      <c r="J59" s="71"/>
      <c r="K59" s="71"/>
      <c r="L59" s="71"/>
      <c r="M59" s="72"/>
      <c r="N59" s="102">
        <v>3333.42</v>
      </c>
      <c r="O59" s="68">
        <f>$O$4-N59</f>
        <v>36666.58</v>
      </c>
      <c r="P59" s="69">
        <f>N59</f>
        <v>3333.42</v>
      </c>
      <c r="Q59" s="14">
        <v>45643</v>
      </c>
      <c r="R59" s="15">
        <v>45649</v>
      </c>
      <c r="S59" s="134"/>
      <c r="T59" s="71"/>
      <c r="U59" s="145"/>
      <c r="V59" s="71"/>
      <c r="W59" s="71"/>
      <c r="X59" s="71"/>
      <c r="Y59" s="72"/>
      <c r="Z59" s="25">
        <f t="shared" si="17"/>
        <v>3333.42</v>
      </c>
      <c r="AA59" s="26">
        <f t="shared" si="15"/>
        <v>812.00111147999996</v>
      </c>
      <c r="AB59" s="27">
        <f t="shared" si="20"/>
        <v>340.79686648815596</v>
      </c>
      <c r="AC59" s="27">
        <f t="shared" si="21"/>
        <v>1152.7979779681559</v>
      </c>
      <c r="AD59" s="27">
        <f t="shared" si="22"/>
        <v>61567.772975324173</v>
      </c>
      <c r="AE59" s="106">
        <v>2306</v>
      </c>
      <c r="AF59" s="30">
        <f t="shared" si="23"/>
        <v>-0.1450820477821253</v>
      </c>
      <c r="AG59" s="121"/>
      <c r="AH59" s="121"/>
      <c r="AI59" s="122"/>
      <c r="AJ59" s="123"/>
    </row>
    <row r="60" spans="1:39" x14ac:dyDescent="0.2">
      <c r="A60" s="16">
        <v>45658</v>
      </c>
      <c r="B60" s="70"/>
      <c r="C60" s="71"/>
      <c r="D60" s="71"/>
      <c r="E60" s="71"/>
      <c r="F60" s="71"/>
      <c r="G60" s="71"/>
      <c r="H60" s="71"/>
      <c r="I60" s="70"/>
      <c r="J60" s="71"/>
      <c r="K60" s="71"/>
      <c r="L60" s="71"/>
      <c r="M60" s="72"/>
      <c r="N60" s="102">
        <v>3333.34</v>
      </c>
      <c r="O60" s="68">
        <f t="shared" ref="O60:O70" si="26">O59-N60</f>
        <v>33333.240000000005</v>
      </c>
      <c r="P60" s="69">
        <f t="shared" ref="P60:P70" si="27">P59+N60</f>
        <v>6666.76</v>
      </c>
      <c r="Q60" s="14">
        <v>45678</v>
      </c>
      <c r="R60" s="15">
        <v>45720</v>
      </c>
      <c r="S60" s="134"/>
      <c r="T60" s="71"/>
      <c r="U60" s="145"/>
      <c r="V60" s="71"/>
      <c r="W60" s="71"/>
      <c r="X60" s="71"/>
      <c r="Y60" s="72"/>
      <c r="Z60" s="25">
        <f t="shared" si="17"/>
        <v>3333.34</v>
      </c>
      <c r="AA60" s="26">
        <f t="shared" si="15"/>
        <v>811.98162395999998</v>
      </c>
      <c r="AB60" s="27">
        <f t="shared" si="20"/>
        <v>340.78868757601197</v>
      </c>
      <c r="AC60" s="27">
        <f t="shared" si="21"/>
        <v>1152.7703115360118</v>
      </c>
      <c r="AD60" s="27">
        <f t="shared" si="22"/>
        <v>62720.543286860186</v>
      </c>
      <c r="AE60" s="106">
        <v>1E-3</v>
      </c>
      <c r="AF60" s="30">
        <f t="shared" si="23"/>
        <v>1152.6242294882297</v>
      </c>
      <c r="AG60" s="121"/>
      <c r="AH60" s="121"/>
      <c r="AI60" s="122"/>
      <c r="AJ60" s="123"/>
      <c r="AK60" s="1"/>
    </row>
    <row r="61" spans="1:39" x14ac:dyDescent="0.2">
      <c r="A61" s="16">
        <v>45689</v>
      </c>
      <c r="B61" s="70"/>
      <c r="C61" s="71"/>
      <c r="D61" s="71"/>
      <c r="E61" s="71"/>
      <c r="F61" s="71"/>
      <c r="G61" s="71"/>
      <c r="H61" s="71"/>
      <c r="I61" s="70"/>
      <c r="J61" s="71"/>
      <c r="K61" s="71"/>
      <c r="L61" s="71"/>
      <c r="M61" s="72"/>
      <c r="N61" s="102">
        <v>3333.34</v>
      </c>
      <c r="O61" s="68">
        <f t="shared" si="26"/>
        <v>29999.900000000005</v>
      </c>
      <c r="P61" s="69">
        <f t="shared" si="27"/>
        <v>10000.1</v>
      </c>
      <c r="Q61" s="14">
        <v>45708</v>
      </c>
      <c r="R61" s="15">
        <v>45744</v>
      </c>
      <c r="S61" s="134"/>
      <c r="T61" s="71"/>
      <c r="U61" s="145"/>
      <c r="V61" s="71"/>
      <c r="W61" s="71"/>
      <c r="X61" s="71"/>
      <c r="Y61" s="72"/>
      <c r="Z61" s="25">
        <f t="shared" si="17"/>
        <v>3333.34</v>
      </c>
      <c r="AA61" s="26">
        <f t="shared" si="15"/>
        <v>811.98162395999998</v>
      </c>
      <c r="AB61" s="27">
        <f t="shared" si="20"/>
        <v>340.78868757601197</v>
      </c>
      <c r="AC61" s="27">
        <f t="shared" si="21"/>
        <v>1152.7703115360118</v>
      </c>
      <c r="AD61" s="27">
        <f t="shared" si="22"/>
        <v>63873.313598396198</v>
      </c>
      <c r="AE61" s="106">
        <v>1E-3</v>
      </c>
      <c r="AF61" s="30">
        <f t="shared" si="23"/>
        <v>2305.3935410242411</v>
      </c>
      <c r="AG61" s="121"/>
      <c r="AH61" s="121"/>
      <c r="AI61" s="122"/>
      <c r="AJ61" s="123"/>
      <c r="AK61" s="1"/>
    </row>
    <row r="62" spans="1:39" x14ac:dyDescent="0.2">
      <c r="A62" s="16">
        <v>45717</v>
      </c>
      <c r="B62" s="70"/>
      <c r="C62" s="71"/>
      <c r="D62" s="71"/>
      <c r="E62" s="71"/>
      <c r="F62" s="71"/>
      <c r="G62" s="71"/>
      <c r="H62" s="71"/>
      <c r="I62" s="70"/>
      <c r="J62" s="71"/>
      <c r="K62" s="71"/>
      <c r="L62" s="71"/>
      <c r="M62" s="72"/>
      <c r="N62" s="102">
        <v>3333.34</v>
      </c>
      <c r="O62" s="68">
        <f t="shared" si="26"/>
        <v>26666.560000000005</v>
      </c>
      <c r="P62" s="69">
        <f t="shared" si="27"/>
        <v>13333.44</v>
      </c>
      <c r="Q62" s="14">
        <v>45736</v>
      </c>
      <c r="R62" s="15">
        <v>45769</v>
      </c>
      <c r="S62" s="134"/>
      <c r="T62" s="71"/>
      <c r="U62" s="145"/>
      <c r="V62" s="71"/>
      <c r="W62" s="71"/>
      <c r="X62" s="71"/>
      <c r="Y62" s="72"/>
      <c r="Z62" s="25">
        <f t="shared" si="17"/>
        <v>3333.34</v>
      </c>
      <c r="AA62" s="26">
        <f t="shared" si="15"/>
        <v>811.98162395999998</v>
      </c>
      <c r="AB62" s="27">
        <f t="shared" si="20"/>
        <v>340.78868757601197</v>
      </c>
      <c r="AC62" s="27">
        <f t="shared" si="21"/>
        <v>1152.7703115360118</v>
      </c>
      <c r="AD62" s="27">
        <f t="shared" si="22"/>
        <v>65026.083909932211</v>
      </c>
      <c r="AE62" s="106">
        <v>1E-3</v>
      </c>
      <c r="AF62" s="30">
        <f t="shared" si="23"/>
        <v>3458.1628525602528</v>
      </c>
      <c r="AG62" s="121"/>
      <c r="AH62" s="121"/>
      <c r="AI62" s="122"/>
      <c r="AJ62" s="123"/>
      <c r="AK62" s="1"/>
    </row>
    <row r="63" spans="1:39" x14ac:dyDescent="0.2">
      <c r="A63" s="16">
        <v>45748</v>
      </c>
      <c r="B63" s="70"/>
      <c r="C63" s="71"/>
      <c r="D63" s="71"/>
      <c r="E63" s="71"/>
      <c r="F63" s="71"/>
      <c r="G63" s="71"/>
      <c r="H63" s="71"/>
      <c r="I63" s="70"/>
      <c r="J63" s="71"/>
      <c r="K63" s="71"/>
      <c r="L63" s="71"/>
      <c r="M63" s="72"/>
      <c r="N63" s="102">
        <v>3333.34</v>
      </c>
      <c r="O63" s="68">
        <f t="shared" si="26"/>
        <v>23333.220000000005</v>
      </c>
      <c r="P63" s="69">
        <f t="shared" si="27"/>
        <v>16666.78</v>
      </c>
      <c r="Q63" s="14">
        <v>45767</v>
      </c>
      <c r="R63" s="15">
        <v>45804</v>
      </c>
      <c r="S63" s="134"/>
      <c r="T63" s="71"/>
      <c r="U63" s="145"/>
      <c r="V63" s="71"/>
      <c r="W63" s="71"/>
      <c r="X63" s="71"/>
      <c r="Y63" s="72"/>
      <c r="Z63" s="25">
        <f t="shared" si="17"/>
        <v>3333.34</v>
      </c>
      <c r="AA63" s="26">
        <f t="shared" si="15"/>
        <v>811.98162395999998</v>
      </c>
      <c r="AB63" s="27">
        <f t="shared" si="20"/>
        <v>340.78868757601197</v>
      </c>
      <c r="AC63" s="27">
        <f t="shared" si="21"/>
        <v>1152.7703115360118</v>
      </c>
      <c r="AD63" s="27">
        <f t="shared" si="22"/>
        <v>66178.854221468224</v>
      </c>
      <c r="AE63" s="106">
        <v>4611</v>
      </c>
      <c r="AF63" s="30">
        <f t="shared" si="23"/>
        <v>-6.6835903735409374E-2</v>
      </c>
      <c r="AG63" s="121"/>
      <c r="AH63" s="121"/>
      <c r="AI63" s="122"/>
      <c r="AJ63" s="123"/>
      <c r="AK63" s="1"/>
    </row>
    <row r="64" spans="1:39" x14ac:dyDescent="0.2">
      <c r="A64" s="16">
        <v>45778</v>
      </c>
      <c r="B64" s="70"/>
      <c r="C64" s="71"/>
      <c r="D64" s="71"/>
      <c r="E64" s="71"/>
      <c r="F64" s="71"/>
      <c r="G64" s="71"/>
      <c r="H64" s="71"/>
      <c r="I64" s="70"/>
      <c r="J64" s="71"/>
      <c r="K64" s="71"/>
      <c r="L64" s="71"/>
      <c r="M64" s="72"/>
      <c r="N64" s="102">
        <v>3333.34</v>
      </c>
      <c r="O64" s="68">
        <f t="shared" si="26"/>
        <v>19999.880000000005</v>
      </c>
      <c r="P64" s="69">
        <f t="shared" si="27"/>
        <v>20000.12</v>
      </c>
      <c r="Q64" s="14">
        <v>45797</v>
      </c>
      <c r="R64" s="15">
        <v>45839</v>
      </c>
      <c r="S64" s="134"/>
      <c r="T64" s="71"/>
      <c r="U64" s="145"/>
      <c r="V64" s="71"/>
      <c r="W64" s="71"/>
      <c r="X64" s="71"/>
      <c r="Y64" s="72"/>
      <c r="Z64" s="25">
        <f t="shared" si="17"/>
        <v>3333.34</v>
      </c>
      <c r="AA64" s="26">
        <f t="shared" si="15"/>
        <v>811.98162395999998</v>
      </c>
      <c r="AB64" s="27">
        <f t="shared" si="20"/>
        <v>340.78868757601197</v>
      </c>
      <c r="AC64" s="27">
        <f t="shared" si="21"/>
        <v>1152.7703115360118</v>
      </c>
      <c r="AD64" s="27">
        <f t="shared" si="22"/>
        <v>67331.624533004229</v>
      </c>
      <c r="AE64" s="106">
        <v>1E-4</v>
      </c>
      <c r="AF64" s="30">
        <f t="shared" si="23"/>
        <v>1152.7033756322764</v>
      </c>
      <c r="AG64" s="189" t="s">
        <v>80</v>
      </c>
      <c r="AH64" s="190"/>
      <c r="AI64" s="190"/>
      <c r="AJ64" s="191"/>
    </row>
    <row r="65" spans="1:38" x14ac:dyDescent="0.2">
      <c r="A65" s="16">
        <v>45809</v>
      </c>
      <c r="B65" s="70"/>
      <c r="C65" s="71"/>
      <c r="D65" s="71"/>
      <c r="E65" s="71"/>
      <c r="F65" s="71"/>
      <c r="G65" s="71"/>
      <c r="H65" s="71"/>
      <c r="I65" s="70"/>
      <c r="J65" s="71"/>
      <c r="K65" s="71"/>
      <c r="L65" s="71"/>
      <c r="M65" s="72"/>
      <c r="N65" s="102">
        <v>3333.34</v>
      </c>
      <c r="O65" s="68">
        <f t="shared" si="26"/>
        <v>16666.540000000005</v>
      </c>
      <c r="P65" s="69">
        <f t="shared" si="27"/>
        <v>23333.46</v>
      </c>
      <c r="Q65" s="14">
        <v>45828</v>
      </c>
      <c r="R65" s="15">
        <v>45860</v>
      </c>
      <c r="S65" s="134"/>
      <c r="T65" s="71"/>
      <c r="U65" s="145"/>
      <c r="V65" s="71"/>
      <c r="W65" s="71"/>
      <c r="X65" s="71"/>
      <c r="Y65" s="72"/>
      <c r="Z65" s="25">
        <f t="shared" si="17"/>
        <v>3333.34</v>
      </c>
      <c r="AA65" s="26">
        <f t="shared" si="15"/>
        <v>811.98162395999998</v>
      </c>
      <c r="AB65" s="27">
        <f t="shared" si="20"/>
        <v>340.78868757601197</v>
      </c>
      <c r="AC65" s="27">
        <f t="shared" si="21"/>
        <v>1152.7703115360118</v>
      </c>
      <c r="AD65" s="27">
        <f t="shared" si="22"/>
        <v>68484.394844540235</v>
      </c>
      <c r="AE65" s="106">
        <v>2305</v>
      </c>
      <c r="AF65" s="30">
        <v>1E-4</v>
      </c>
      <c r="AG65" s="128">
        <v>1153</v>
      </c>
      <c r="AH65" s="128">
        <v>68484</v>
      </c>
      <c r="AI65" s="129">
        <v>2305</v>
      </c>
      <c r="AJ65" s="130">
        <v>0</v>
      </c>
    </row>
    <row r="66" spans="1:38" x14ac:dyDescent="0.2">
      <c r="A66" s="16">
        <v>45839</v>
      </c>
      <c r="B66" s="70"/>
      <c r="C66" s="71"/>
      <c r="D66" s="71"/>
      <c r="E66" s="71"/>
      <c r="F66" s="71"/>
      <c r="G66" s="71"/>
      <c r="H66" s="71"/>
      <c r="I66" s="70"/>
      <c r="J66" s="71"/>
      <c r="K66" s="71"/>
      <c r="L66" s="71"/>
      <c r="M66" s="72"/>
      <c r="N66" s="102">
        <v>3333.34</v>
      </c>
      <c r="O66" s="68">
        <f t="shared" si="26"/>
        <v>13333.200000000004</v>
      </c>
      <c r="P66" s="69">
        <f t="shared" si="27"/>
        <v>26666.799999999999</v>
      </c>
      <c r="Q66" s="14">
        <v>45858</v>
      </c>
      <c r="R66" s="15">
        <v>45902</v>
      </c>
      <c r="S66" s="134"/>
      <c r="T66" s="71"/>
      <c r="U66" s="145"/>
      <c r="V66" s="71"/>
      <c r="W66" s="71"/>
      <c r="X66" s="71"/>
      <c r="Y66" s="72"/>
      <c r="Z66" s="25">
        <f t="shared" si="17"/>
        <v>3333.34</v>
      </c>
      <c r="AA66" s="26">
        <f t="shared" si="15"/>
        <v>811.98162395999998</v>
      </c>
      <c r="AB66" s="27">
        <f t="shared" si="20"/>
        <v>340.78868757601197</v>
      </c>
      <c r="AC66" s="27">
        <f t="shared" si="21"/>
        <v>1152.7703115360118</v>
      </c>
      <c r="AD66" s="27">
        <f t="shared" si="22"/>
        <v>69637.16515607624</v>
      </c>
      <c r="AE66" s="122"/>
      <c r="AF66" s="123"/>
      <c r="AG66" s="171">
        <f>IF(Z66=0,"",ROUND(Z66*'Parametri fiscali'!$B$9,2))</f>
        <v>1101.1600000000001</v>
      </c>
      <c r="AH66" s="171">
        <f t="shared" ref="AH66:AH94" si="28">IF(AG66="","",AH65+AG66)</f>
        <v>69585.16</v>
      </c>
      <c r="AI66" s="106"/>
      <c r="AJ66" s="172">
        <f t="shared" ref="AJ66:AJ94" si="29">IF(AG66="","",AJ65+AG66-AI66)</f>
        <v>1101.1600000000001</v>
      </c>
      <c r="AK66" s="1"/>
    </row>
    <row r="67" spans="1:38" x14ac:dyDescent="0.2">
      <c r="A67" s="16">
        <v>45870</v>
      </c>
      <c r="B67" s="70"/>
      <c r="C67" s="71"/>
      <c r="D67" s="71"/>
      <c r="E67" s="71"/>
      <c r="F67" s="71"/>
      <c r="G67" s="71"/>
      <c r="H67" s="71"/>
      <c r="I67" s="70"/>
      <c r="J67" s="71"/>
      <c r="K67" s="71"/>
      <c r="L67" s="71"/>
      <c r="M67" s="72"/>
      <c r="N67" s="102">
        <v>3333.34</v>
      </c>
      <c r="O67" s="68">
        <f t="shared" si="26"/>
        <v>9999.8600000000042</v>
      </c>
      <c r="P67" s="69">
        <f t="shared" si="27"/>
        <v>30000.14</v>
      </c>
      <c r="Q67" s="14">
        <v>45889</v>
      </c>
      <c r="R67" s="15">
        <v>45926</v>
      </c>
      <c r="S67" s="134"/>
      <c r="T67" s="71"/>
      <c r="U67" s="145"/>
      <c r="V67" s="71"/>
      <c r="W67" s="71"/>
      <c r="X67" s="71"/>
      <c r="Y67" s="72"/>
      <c r="Z67" s="25">
        <f t="shared" si="17"/>
        <v>3333.34</v>
      </c>
      <c r="AA67" s="26">
        <f t="shared" si="15"/>
        <v>811.98162395999998</v>
      </c>
      <c r="AB67" s="27">
        <f t="shared" si="20"/>
        <v>340.78868757601197</v>
      </c>
      <c r="AC67" s="27">
        <f t="shared" si="21"/>
        <v>1152.7703115360118</v>
      </c>
      <c r="AD67" s="27">
        <f t="shared" si="22"/>
        <v>70789.935467612246</v>
      </c>
      <c r="AE67" s="122"/>
      <c r="AF67" s="123"/>
      <c r="AG67" s="171">
        <f>IF(Z67=0,"",ROUND(Z67*'Parametri fiscali'!$B$9,2))</f>
        <v>1101.1600000000001</v>
      </c>
      <c r="AH67" s="171">
        <f t="shared" si="28"/>
        <v>70686.320000000007</v>
      </c>
      <c r="AI67" s="106"/>
      <c r="AJ67" s="172">
        <f t="shared" si="29"/>
        <v>2202.3200000000002</v>
      </c>
      <c r="AK67" s="1"/>
    </row>
    <row r="68" spans="1:38" x14ac:dyDescent="0.2">
      <c r="A68" s="16">
        <v>45901</v>
      </c>
      <c r="B68" s="70"/>
      <c r="C68" s="71"/>
      <c r="D68" s="71"/>
      <c r="E68" s="71"/>
      <c r="F68" s="71"/>
      <c r="G68" s="71"/>
      <c r="H68" s="71"/>
      <c r="I68" s="70"/>
      <c r="J68" s="71"/>
      <c r="K68" s="71"/>
      <c r="L68" s="71"/>
      <c r="M68" s="72"/>
      <c r="N68" s="102">
        <v>3333.34</v>
      </c>
      <c r="O68" s="68">
        <f t="shared" si="26"/>
        <v>6666.5200000000041</v>
      </c>
      <c r="P68" s="69">
        <f t="shared" si="27"/>
        <v>33333.479999999996</v>
      </c>
      <c r="Q68" s="14">
        <v>45920</v>
      </c>
      <c r="R68" s="15">
        <v>45954</v>
      </c>
      <c r="S68" s="134"/>
      <c r="T68" s="71"/>
      <c r="U68" s="145"/>
      <c r="V68" s="71"/>
      <c r="W68" s="71"/>
      <c r="X68" s="71"/>
      <c r="Y68" s="72"/>
      <c r="Z68" s="25">
        <f t="shared" si="17"/>
        <v>3333.34</v>
      </c>
      <c r="AA68" s="26">
        <f t="shared" si="15"/>
        <v>811.98162395999998</v>
      </c>
      <c r="AB68" s="27">
        <f t="shared" si="20"/>
        <v>340.78868757601197</v>
      </c>
      <c r="AC68" s="27">
        <f t="shared" si="21"/>
        <v>1152.7703115360118</v>
      </c>
      <c r="AD68" s="27">
        <f t="shared" si="22"/>
        <v>71942.705779148251</v>
      </c>
      <c r="AE68" s="122"/>
      <c r="AF68" s="123"/>
      <c r="AG68" s="171">
        <f>IF(Z68=0,"",ROUND(Z68*'Parametri fiscali'!$B$9,2))</f>
        <v>1101.1600000000001</v>
      </c>
      <c r="AH68" s="171">
        <f t="shared" si="28"/>
        <v>71787.48000000001</v>
      </c>
      <c r="AI68" s="106"/>
      <c r="AJ68" s="172">
        <f t="shared" si="29"/>
        <v>3303.4800000000005</v>
      </c>
    </row>
    <row r="69" spans="1:38" x14ac:dyDescent="0.2">
      <c r="A69" s="16">
        <v>45931</v>
      </c>
      <c r="B69" s="70"/>
      <c r="C69" s="71"/>
      <c r="D69" s="71"/>
      <c r="E69" s="71"/>
      <c r="F69" s="71"/>
      <c r="G69" s="71"/>
      <c r="H69" s="71"/>
      <c r="I69" s="70"/>
      <c r="J69" s="71"/>
      <c r="K69" s="71"/>
      <c r="L69" s="71"/>
      <c r="M69" s="72"/>
      <c r="N69" s="102">
        <v>3333.34</v>
      </c>
      <c r="O69" s="68">
        <f t="shared" si="26"/>
        <v>3333.1800000000039</v>
      </c>
      <c r="P69" s="69">
        <f t="shared" si="27"/>
        <v>36666.819999999992</v>
      </c>
      <c r="Q69" s="14">
        <v>45950</v>
      </c>
      <c r="R69" s="15">
        <v>45989</v>
      </c>
      <c r="S69" s="134"/>
      <c r="T69" s="71"/>
      <c r="U69" s="145"/>
      <c r="V69" s="71"/>
      <c r="W69" s="71"/>
      <c r="X69" s="71"/>
      <c r="Y69" s="72"/>
      <c r="Z69" s="25">
        <f t="shared" si="17"/>
        <v>3333.34</v>
      </c>
      <c r="AA69" s="26">
        <f t="shared" si="15"/>
        <v>811.98162395999998</v>
      </c>
      <c r="AB69" s="27">
        <f t="shared" si="20"/>
        <v>340.78868757601197</v>
      </c>
      <c r="AC69" s="27">
        <f t="shared" si="21"/>
        <v>1152.7703115360118</v>
      </c>
      <c r="AD69" s="27">
        <f t="shared" si="22"/>
        <v>73095.476090684257</v>
      </c>
      <c r="AE69" s="122"/>
      <c r="AF69" s="123"/>
      <c r="AG69" s="171">
        <f>IF(Z69=0,"",ROUND(Z69*'Parametri fiscali'!$B$9,2))</f>
        <v>1101.1600000000001</v>
      </c>
      <c r="AH69" s="171">
        <f t="shared" si="28"/>
        <v>72888.640000000014</v>
      </c>
      <c r="AI69" s="106"/>
      <c r="AJ69" s="172">
        <f t="shared" si="29"/>
        <v>4404.6400000000003</v>
      </c>
      <c r="AK69" s="104" t="s">
        <v>81</v>
      </c>
      <c r="AL69" s="107">
        <v>7534.41</v>
      </c>
    </row>
    <row r="70" spans="1:38" x14ac:dyDescent="0.2">
      <c r="A70" s="16">
        <v>45962</v>
      </c>
      <c r="B70" s="70"/>
      <c r="C70" s="71"/>
      <c r="D70" s="71"/>
      <c r="E70" s="71"/>
      <c r="F70" s="71"/>
      <c r="G70" s="71"/>
      <c r="H70" s="71"/>
      <c r="I70" s="70"/>
      <c r="J70" s="71"/>
      <c r="K70" s="71"/>
      <c r="L70" s="71"/>
      <c r="M70" s="72"/>
      <c r="N70" s="102">
        <v>3333.18</v>
      </c>
      <c r="O70" s="68">
        <f t="shared" si="26"/>
        <v>4.0927261579781771E-12</v>
      </c>
      <c r="P70" s="69">
        <f t="shared" si="27"/>
        <v>39999.999999999993</v>
      </c>
      <c r="Q70" s="14">
        <v>45980</v>
      </c>
      <c r="R70" s="15">
        <v>46013</v>
      </c>
      <c r="S70" s="134"/>
      <c r="T70" s="71"/>
      <c r="U70" s="145"/>
      <c r="V70" s="71"/>
      <c r="W70" s="71"/>
      <c r="X70" s="71"/>
      <c r="Y70" s="72"/>
      <c r="Z70" s="25">
        <f t="shared" si="17"/>
        <v>3333.18</v>
      </c>
      <c r="AA70" s="26">
        <f t="shared" si="15"/>
        <v>811.9426489199999</v>
      </c>
      <c r="AB70" s="27">
        <f t="shared" si="20"/>
        <v>340.77232975172393</v>
      </c>
      <c r="AC70" s="27">
        <f t="shared" si="21"/>
        <v>1152.7149786717239</v>
      </c>
      <c r="AD70" s="27">
        <f t="shared" si="22"/>
        <v>74248.191069355977</v>
      </c>
      <c r="AE70" s="122"/>
      <c r="AF70" s="123"/>
      <c r="AG70" s="171">
        <f>IF(Z70=0,"",ROUND(Z70*'Parametri fiscali'!$B$9,2))</f>
        <v>1101.0999999999999</v>
      </c>
      <c r="AH70" s="171">
        <f t="shared" si="28"/>
        <v>73989.74000000002</v>
      </c>
      <c r="AI70" s="106"/>
      <c r="AJ70" s="172">
        <f t="shared" si="29"/>
        <v>5505.74</v>
      </c>
      <c r="AK70" s="1" t="s">
        <v>82</v>
      </c>
      <c r="AL70" s="9" t="s">
        <v>83</v>
      </c>
    </row>
    <row r="71" spans="1:38" x14ac:dyDescent="0.2">
      <c r="A71" s="16">
        <v>45992</v>
      </c>
      <c r="B71" s="70"/>
      <c r="C71" s="71"/>
      <c r="D71" s="71"/>
      <c r="E71" s="71"/>
      <c r="F71" s="71"/>
      <c r="G71" s="71"/>
      <c r="H71" s="71"/>
      <c r="I71" s="70"/>
      <c r="J71" s="71"/>
      <c r="K71" s="71"/>
      <c r="L71" s="71"/>
      <c r="M71" s="72"/>
      <c r="N71" s="70"/>
      <c r="O71" s="71"/>
      <c r="P71" s="71"/>
      <c r="Q71" s="71"/>
      <c r="R71" s="72"/>
      <c r="S71" s="134"/>
      <c r="T71" s="71"/>
      <c r="U71" s="145"/>
      <c r="V71" s="71"/>
      <c r="W71" s="71"/>
      <c r="X71" s="71"/>
      <c r="Y71" s="72"/>
      <c r="Z71" s="25">
        <f t="shared" ref="Z71:Z94" si="30">U71</f>
        <v>0</v>
      </c>
      <c r="AA71" s="120"/>
      <c r="AB71" s="121"/>
      <c r="AC71" s="121"/>
      <c r="AD71" s="121"/>
      <c r="AE71" s="122"/>
      <c r="AF71" s="123"/>
      <c r="AG71" s="173" t="str">
        <f>IF(Z71=0,"",ROUND(Z71*'Parametri fiscali'!$B$9,2))</f>
        <v/>
      </c>
      <c r="AH71" s="174" t="str">
        <f t="shared" si="28"/>
        <v/>
      </c>
      <c r="AI71" s="79"/>
      <c r="AJ71" s="175" t="str">
        <f t="shared" si="29"/>
        <v/>
      </c>
      <c r="AK71" s="9"/>
    </row>
    <row r="72" spans="1:38" x14ac:dyDescent="0.2">
      <c r="A72" s="115">
        <v>46023</v>
      </c>
      <c r="B72" s="70"/>
      <c r="C72" s="71"/>
      <c r="D72" s="71"/>
      <c r="E72" s="71"/>
      <c r="F72" s="71"/>
      <c r="G72" s="71"/>
      <c r="H72" s="71"/>
      <c r="I72" s="70"/>
      <c r="J72" s="71"/>
      <c r="K72" s="71"/>
      <c r="L72" s="71"/>
      <c r="M72" s="72"/>
      <c r="N72" s="70"/>
      <c r="O72" s="71"/>
      <c r="P72" s="71"/>
      <c r="Q72" s="71"/>
      <c r="R72" s="72"/>
      <c r="S72" s="134"/>
      <c r="T72" s="71"/>
      <c r="U72" s="145"/>
      <c r="V72" s="71"/>
      <c r="W72" s="71"/>
      <c r="X72" s="71"/>
      <c r="Y72" s="72"/>
      <c r="Z72" s="25">
        <f t="shared" si="30"/>
        <v>0</v>
      </c>
      <c r="AA72" s="120"/>
      <c r="AB72" s="121"/>
      <c r="AC72" s="121"/>
      <c r="AD72" s="121"/>
      <c r="AE72" s="122"/>
      <c r="AF72" s="123"/>
      <c r="AG72" s="173" t="str">
        <f>IF(Z72=0,"",ROUND(Z72*'Parametri fiscali'!$B$9,2))</f>
        <v/>
      </c>
      <c r="AH72" s="174" t="str">
        <f t="shared" si="28"/>
        <v/>
      </c>
      <c r="AI72" s="79"/>
      <c r="AJ72" s="175" t="str">
        <f t="shared" si="29"/>
        <v/>
      </c>
      <c r="AK72" s="176" t="s">
        <v>84</v>
      </c>
    </row>
    <row r="73" spans="1:38" x14ac:dyDescent="0.2">
      <c r="A73" s="115">
        <v>46054</v>
      </c>
      <c r="B73" s="70"/>
      <c r="C73" s="71"/>
      <c r="D73" s="71"/>
      <c r="E73" s="71"/>
      <c r="F73" s="71"/>
      <c r="G73" s="71"/>
      <c r="H73" s="71"/>
      <c r="I73" s="70"/>
      <c r="J73" s="71"/>
      <c r="K73" s="71"/>
      <c r="L73" s="71"/>
      <c r="M73" s="72"/>
      <c r="N73" s="70"/>
      <c r="O73" s="71"/>
      <c r="P73" s="71"/>
      <c r="Q73" s="71"/>
      <c r="R73" s="72"/>
      <c r="S73" s="151"/>
      <c r="T73" s="152">
        <f>T4-$S$73</f>
        <v>97</v>
      </c>
      <c r="U73" s="148">
        <f t="shared" ref="U73:V79" si="31">S73*$AN$1</f>
        <v>0</v>
      </c>
      <c r="V73" s="149">
        <f t="shared" si="31"/>
        <v>29100</v>
      </c>
      <c r="W73" s="149">
        <f t="shared" ref="W73:W79" si="32">W72+U73</f>
        <v>0</v>
      </c>
      <c r="X73" s="117"/>
      <c r="Y73" s="118"/>
      <c r="Z73" s="25">
        <f t="shared" si="30"/>
        <v>0</v>
      </c>
      <c r="AA73" s="120"/>
      <c r="AB73" s="121"/>
      <c r="AC73" s="121"/>
      <c r="AD73" s="121"/>
      <c r="AE73" s="122"/>
      <c r="AF73" s="123"/>
      <c r="AG73" s="171" t="str">
        <f>IF(Z73=0,"",ROUND(Z73*'Parametri fiscali'!$B$9,2))</f>
        <v/>
      </c>
      <c r="AH73" s="171" t="str">
        <f t="shared" si="28"/>
        <v/>
      </c>
      <c r="AI73" s="28"/>
      <c r="AJ73" s="172" t="str">
        <f t="shared" si="29"/>
        <v/>
      </c>
      <c r="AK73" s="176" t="s">
        <v>85</v>
      </c>
    </row>
    <row r="74" spans="1:38" x14ac:dyDescent="0.2">
      <c r="A74" s="115">
        <v>46082</v>
      </c>
      <c r="B74" s="70"/>
      <c r="C74" s="71"/>
      <c r="D74" s="71"/>
      <c r="E74" s="71"/>
      <c r="F74" s="71"/>
      <c r="G74" s="71"/>
      <c r="H74" s="71"/>
      <c r="I74" s="70"/>
      <c r="J74" s="71"/>
      <c r="K74" s="71"/>
      <c r="L74" s="71"/>
      <c r="M74" s="72"/>
      <c r="N74" s="70"/>
      <c r="O74" s="71"/>
      <c r="P74" s="71"/>
      <c r="Q74" s="71"/>
      <c r="R74" s="72"/>
      <c r="S74" s="151"/>
      <c r="T74" s="152">
        <f t="shared" ref="T74:T79" si="33">T73-S74</f>
        <v>97</v>
      </c>
      <c r="U74" s="148">
        <f t="shared" si="31"/>
        <v>0</v>
      </c>
      <c r="V74" s="149">
        <f t="shared" si="31"/>
        <v>29100</v>
      </c>
      <c r="W74" s="149">
        <f t="shared" si="32"/>
        <v>0</v>
      </c>
      <c r="X74" s="117"/>
      <c r="Y74" s="118"/>
      <c r="Z74" s="25">
        <f t="shared" si="30"/>
        <v>0</v>
      </c>
      <c r="AA74" s="120"/>
      <c r="AB74" s="121"/>
      <c r="AC74" s="121"/>
      <c r="AD74" s="121"/>
      <c r="AE74" s="122"/>
      <c r="AF74" s="123"/>
      <c r="AG74" s="171" t="str">
        <f>IF(Z74=0,"",ROUND(Z74*'Parametri fiscali'!$B$9,2))</f>
        <v/>
      </c>
      <c r="AH74" s="171" t="str">
        <f t="shared" si="28"/>
        <v/>
      </c>
      <c r="AI74" s="28"/>
      <c r="AJ74" s="172" t="str">
        <f t="shared" si="29"/>
        <v/>
      </c>
      <c r="AK74" s="9"/>
    </row>
    <row r="75" spans="1:38" x14ac:dyDescent="0.2">
      <c r="A75" s="115">
        <v>46113</v>
      </c>
      <c r="B75" s="70"/>
      <c r="C75" s="71"/>
      <c r="D75" s="71"/>
      <c r="E75" s="71"/>
      <c r="F75" s="71"/>
      <c r="G75" s="71"/>
      <c r="H75" s="71"/>
      <c r="I75" s="70"/>
      <c r="J75" s="71"/>
      <c r="K75" s="71"/>
      <c r="L75" s="71"/>
      <c r="M75" s="72"/>
      <c r="N75" s="70"/>
      <c r="O75" s="71"/>
      <c r="P75" s="71"/>
      <c r="Q75" s="71"/>
      <c r="R75" s="72"/>
      <c r="S75" s="151"/>
      <c r="T75" s="152">
        <f t="shared" si="33"/>
        <v>97</v>
      </c>
      <c r="U75" s="148">
        <f t="shared" si="31"/>
        <v>0</v>
      </c>
      <c r="V75" s="149">
        <f t="shared" si="31"/>
        <v>29100</v>
      </c>
      <c r="W75" s="149">
        <f t="shared" si="32"/>
        <v>0</v>
      </c>
      <c r="X75" s="117"/>
      <c r="Y75" s="118"/>
      <c r="Z75" s="25">
        <f t="shared" si="30"/>
        <v>0</v>
      </c>
      <c r="AA75" s="120"/>
      <c r="AB75" s="121"/>
      <c r="AC75" s="121"/>
      <c r="AD75" s="121"/>
      <c r="AE75" s="122"/>
      <c r="AF75" s="123"/>
      <c r="AG75" s="171" t="str">
        <f>IF(Z75=0,"",ROUND(Z75*'Parametri fiscali'!$B$9,2))</f>
        <v/>
      </c>
      <c r="AH75" s="171" t="str">
        <f t="shared" si="28"/>
        <v/>
      </c>
      <c r="AI75" s="28"/>
      <c r="AJ75" s="172" t="str">
        <f t="shared" si="29"/>
        <v/>
      </c>
      <c r="AK75" s="9"/>
    </row>
    <row r="76" spans="1:38" x14ac:dyDescent="0.2">
      <c r="A76" s="115">
        <v>46143</v>
      </c>
      <c r="B76" s="70"/>
      <c r="C76" s="71"/>
      <c r="D76" s="71"/>
      <c r="E76" s="71"/>
      <c r="F76" s="71"/>
      <c r="G76" s="71"/>
      <c r="H76" s="71"/>
      <c r="I76" s="70"/>
      <c r="J76" s="71"/>
      <c r="K76" s="71"/>
      <c r="L76" s="71"/>
      <c r="M76" s="72"/>
      <c r="N76" s="70"/>
      <c r="O76" s="71"/>
      <c r="P76" s="71"/>
      <c r="Q76" s="71"/>
      <c r="R76" s="72"/>
      <c r="S76" s="151"/>
      <c r="T76" s="152">
        <f t="shared" si="33"/>
        <v>97</v>
      </c>
      <c r="U76" s="148">
        <f t="shared" si="31"/>
        <v>0</v>
      </c>
      <c r="V76" s="149">
        <f t="shared" si="31"/>
        <v>29100</v>
      </c>
      <c r="W76" s="149">
        <f t="shared" si="32"/>
        <v>0</v>
      </c>
      <c r="X76" s="117"/>
      <c r="Y76" s="118"/>
      <c r="Z76" s="25">
        <f t="shared" si="30"/>
        <v>0</v>
      </c>
      <c r="AA76" s="120"/>
      <c r="AB76" s="121"/>
      <c r="AC76" s="121"/>
      <c r="AD76" s="121"/>
      <c r="AE76" s="122"/>
      <c r="AF76" s="123"/>
      <c r="AG76" s="171" t="str">
        <f>IF(Z76=0,"",ROUND(Z76*'Parametri fiscali'!$B$9,2))</f>
        <v/>
      </c>
      <c r="AH76" s="171" t="str">
        <f t="shared" si="28"/>
        <v/>
      </c>
      <c r="AI76" s="28"/>
      <c r="AJ76" s="172" t="str">
        <f t="shared" si="29"/>
        <v/>
      </c>
      <c r="AK76" s="9"/>
    </row>
    <row r="77" spans="1:38" x14ac:dyDescent="0.2">
      <c r="A77" s="115">
        <v>46174</v>
      </c>
      <c r="B77" s="70"/>
      <c r="C77" s="71"/>
      <c r="D77" s="71"/>
      <c r="E77" s="71"/>
      <c r="F77" s="71"/>
      <c r="G77" s="71"/>
      <c r="H77" s="71"/>
      <c r="I77" s="70"/>
      <c r="J77" s="71"/>
      <c r="K77" s="71"/>
      <c r="L77" s="71"/>
      <c r="M77" s="72"/>
      <c r="N77" s="70"/>
      <c r="O77" s="71"/>
      <c r="P77" s="71"/>
      <c r="Q77" s="71"/>
      <c r="R77" s="72"/>
      <c r="S77" s="151"/>
      <c r="T77" s="152">
        <f t="shared" si="33"/>
        <v>97</v>
      </c>
      <c r="U77" s="148">
        <f t="shared" si="31"/>
        <v>0</v>
      </c>
      <c r="V77" s="149">
        <f t="shared" si="31"/>
        <v>29100</v>
      </c>
      <c r="W77" s="149">
        <f t="shared" si="32"/>
        <v>0</v>
      </c>
      <c r="X77" s="117"/>
      <c r="Y77" s="118"/>
      <c r="Z77" s="25">
        <f t="shared" si="30"/>
        <v>0</v>
      </c>
      <c r="AA77" s="120"/>
      <c r="AB77" s="121"/>
      <c r="AC77" s="121"/>
      <c r="AD77" s="121"/>
      <c r="AE77" s="122"/>
      <c r="AF77" s="123"/>
      <c r="AG77" s="171" t="str">
        <f>IF(Z77=0,"",ROUND(Z77*'Parametri fiscali'!$B$9,2))</f>
        <v/>
      </c>
      <c r="AH77" s="171" t="str">
        <f t="shared" si="28"/>
        <v/>
      </c>
      <c r="AI77" s="28"/>
      <c r="AJ77" s="172" t="str">
        <f t="shared" si="29"/>
        <v/>
      </c>
      <c r="AK77" s="9"/>
    </row>
    <row r="78" spans="1:38" x14ac:dyDescent="0.2">
      <c r="A78" s="115">
        <v>46204</v>
      </c>
      <c r="B78" s="70"/>
      <c r="C78" s="71"/>
      <c r="D78" s="71"/>
      <c r="E78" s="71"/>
      <c r="F78" s="71"/>
      <c r="G78" s="71"/>
      <c r="H78" s="71"/>
      <c r="I78" s="70"/>
      <c r="J78" s="71"/>
      <c r="K78" s="71"/>
      <c r="L78" s="71"/>
      <c r="M78" s="72"/>
      <c r="N78" s="70"/>
      <c r="O78" s="71"/>
      <c r="P78" s="71"/>
      <c r="Q78" s="71"/>
      <c r="R78" s="72"/>
      <c r="S78" s="151"/>
      <c r="T78" s="152">
        <f t="shared" si="33"/>
        <v>97</v>
      </c>
      <c r="U78" s="148">
        <f t="shared" si="31"/>
        <v>0</v>
      </c>
      <c r="V78" s="149">
        <f t="shared" si="31"/>
        <v>29100</v>
      </c>
      <c r="W78" s="149">
        <f t="shared" si="32"/>
        <v>0</v>
      </c>
      <c r="X78" s="117"/>
      <c r="Y78" s="118"/>
      <c r="Z78" s="25">
        <f t="shared" si="30"/>
        <v>0</v>
      </c>
      <c r="AA78" s="120"/>
      <c r="AB78" s="121"/>
      <c r="AC78" s="121"/>
      <c r="AD78" s="121"/>
      <c r="AE78" s="122"/>
      <c r="AF78" s="123"/>
      <c r="AG78" s="171" t="str">
        <f>IF(Z78=0,"",ROUND(Z78*'Parametri fiscali'!$B$9,2))</f>
        <v/>
      </c>
      <c r="AH78" s="171" t="str">
        <f t="shared" si="28"/>
        <v/>
      </c>
      <c r="AI78" s="28"/>
      <c r="AJ78" s="172" t="str">
        <f t="shared" si="29"/>
        <v/>
      </c>
      <c r="AK78" s="9"/>
    </row>
    <row r="79" spans="1:38" x14ac:dyDescent="0.2">
      <c r="A79" s="115">
        <v>46235</v>
      </c>
      <c r="B79" s="70"/>
      <c r="C79" s="71"/>
      <c r="D79" s="71"/>
      <c r="E79" s="71"/>
      <c r="F79" s="71"/>
      <c r="G79" s="71"/>
      <c r="H79" s="71"/>
      <c r="I79" s="70"/>
      <c r="J79" s="71"/>
      <c r="K79" s="71"/>
      <c r="L79" s="71"/>
      <c r="M79" s="72"/>
      <c r="N79" s="70"/>
      <c r="O79" s="71"/>
      <c r="P79" s="71"/>
      <c r="Q79" s="71"/>
      <c r="R79" s="72"/>
      <c r="S79" s="151"/>
      <c r="T79" s="152">
        <f t="shared" si="33"/>
        <v>97</v>
      </c>
      <c r="U79" s="148">
        <f t="shared" si="31"/>
        <v>0</v>
      </c>
      <c r="V79" s="149">
        <f t="shared" si="31"/>
        <v>29100</v>
      </c>
      <c r="W79" s="149">
        <f t="shared" si="32"/>
        <v>0</v>
      </c>
      <c r="X79" s="117"/>
      <c r="Y79" s="118"/>
      <c r="Z79" s="25">
        <f t="shared" si="30"/>
        <v>0</v>
      </c>
      <c r="AA79" s="120"/>
      <c r="AB79" s="121"/>
      <c r="AC79" s="121"/>
      <c r="AD79" s="121"/>
      <c r="AE79" s="122"/>
      <c r="AF79" s="123"/>
      <c r="AG79" s="171" t="str">
        <f>IF(Z79=0,"",ROUND(Z79*'Parametri fiscali'!$B$9,2))</f>
        <v/>
      </c>
      <c r="AH79" s="171" t="str">
        <f t="shared" si="28"/>
        <v/>
      </c>
      <c r="AI79" s="28"/>
      <c r="AJ79" s="172" t="str">
        <f t="shared" si="29"/>
        <v/>
      </c>
      <c r="AK79" s="9"/>
    </row>
    <row r="80" spans="1:38" x14ac:dyDescent="0.2">
      <c r="A80" s="115">
        <v>46266</v>
      </c>
      <c r="B80" s="70"/>
      <c r="C80" s="71"/>
      <c r="D80" s="71"/>
      <c r="E80" s="71"/>
      <c r="F80" s="71"/>
      <c r="G80" s="71"/>
      <c r="H80" s="71"/>
      <c r="I80" s="70"/>
      <c r="J80" s="71"/>
      <c r="K80" s="71"/>
      <c r="L80" s="71"/>
      <c r="M80" s="72"/>
      <c r="N80" s="70"/>
      <c r="O80" s="71"/>
      <c r="P80" s="71"/>
      <c r="Q80" s="71"/>
      <c r="R80" s="72"/>
      <c r="S80" s="70"/>
      <c r="T80" s="71"/>
      <c r="U80" s="71"/>
      <c r="V80" s="71"/>
      <c r="W80" s="150"/>
      <c r="X80" s="71"/>
      <c r="Y80" s="71"/>
      <c r="Z80" s="25">
        <f t="shared" si="30"/>
        <v>0</v>
      </c>
      <c r="AA80" s="120"/>
      <c r="AB80" s="121"/>
      <c r="AC80" s="121"/>
      <c r="AD80" s="121"/>
      <c r="AE80" s="122"/>
      <c r="AF80" s="123"/>
      <c r="AG80" s="171" t="str">
        <f>IF(Z80=0,"",ROUND(Z80*'Parametri fiscali'!$B$9,2))</f>
        <v/>
      </c>
      <c r="AH80" s="171" t="str">
        <f t="shared" si="28"/>
        <v/>
      </c>
      <c r="AI80" s="28"/>
      <c r="AJ80" s="172" t="str">
        <f t="shared" si="29"/>
        <v/>
      </c>
      <c r="AK80" s="9"/>
    </row>
    <row r="81" spans="1:37" x14ac:dyDescent="0.2">
      <c r="A81" s="115">
        <v>46296</v>
      </c>
      <c r="B81" s="70"/>
      <c r="C81" s="71"/>
      <c r="D81" s="71"/>
      <c r="E81" s="71"/>
      <c r="F81" s="71"/>
      <c r="G81" s="71"/>
      <c r="H81" s="71"/>
      <c r="I81" s="70"/>
      <c r="J81" s="71"/>
      <c r="K81" s="71"/>
      <c r="L81" s="71"/>
      <c r="M81" s="72"/>
      <c r="N81" s="70"/>
      <c r="O81" s="71"/>
      <c r="P81" s="71"/>
      <c r="Q81" s="71"/>
      <c r="R81" s="72"/>
      <c r="S81" s="70"/>
      <c r="T81" s="71"/>
      <c r="U81" s="71"/>
      <c r="V81" s="71"/>
      <c r="W81" s="150"/>
      <c r="X81" s="71"/>
      <c r="Y81" s="71"/>
      <c r="Z81" s="25">
        <f t="shared" si="30"/>
        <v>0</v>
      </c>
      <c r="AA81" s="120"/>
      <c r="AB81" s="121"/>
      <c r="AC81" s="121"/>
      <c r="AD81" s="121"/>
      <c r="AE81" s="122"/>
      <c r="AF81" s="123"/>
      <c r="AG81" s="171" t="str">
        <f>IF(Z81=0,"",ROUND(Z81*'Parametri fiscali'!$B$9,2))</f>
        <v/>
      </c>
      <c r="AH81" s="171" t="str">
        <f t="shared" si="28"/>
        <v/>
      </c>
      <c r="AI81" s="28"/>
      <c r="AJ81" s="172" t="str">
        <f t="shared" si="29"/>
        <v/>
      </c>
      <c r="AK81" s="9"/>
    </row>
    <row r="82" spans="1:37" x14ac:dyDescent="0.2">
      <c r="A82" s="115">
        <v>46327</v>
      </c>
      <c r="B82" s="70"/>
      <c r="C82" s="71"/>
      <c r="D82" s="71"/>
      <c r="E82" s="71"/>
      <c r="F82" s="71"/>
      <c r="G82" s="71"/>
      <c r="H82" s="71"/>
      <c r="I82" s="70"/>
      <c r="J82" s="71"/>
      <c r="K82" s="71"/>
      <c r="L82" s="71"/>
      <c r="M82" s="72"/>
      <c r="N82" s="70"/>
      <c r="O82" s="71"/>
      <c r="P82" s="71"/>
      <c r="Q82" s="71"/>
      <c r="R82" s="72"/>
      <c r="S82" s="70"/>
      <c r="T82" s="71"/>
      <c r="U82" s="71"/>
      <c r="V82" s="71"/>
      <c r="W82" s="150"/>
      <c r="X82" s="71"/>
      <c r="Y82" s="71"/>
      <c r="Z82" s="25">
        <f t="shared" si="30"/>
        <v>0</v>
      </c>
      <c r="AA82" s="120"/>
      <c r="AB82" s="121"/>
      <c r="AC82" s="121"/>
      <c r="AD82" s="121"/>
      <c r="AE82" s="122"/>
      <c r="AF82" s="123"/>
      <c r="AG82" s="171" t="str">
        <f>IF(Z82=0,"",ROUND(Z82*'Parametri fiscali'!$B$9,2))</f>
        <v/>
      </c>
      <c r="AH82" s="171" t="str">
        <f t="shared" si="28"/>
        <v/>
      </c>
      <c r="AI82" s="28"/>
      <c r="AJ82" s="172" t="str">
        <f t="shared" si="29"/>
        <v/>
      </c>
      <c r="AK82" s="9"/>
    </row>
    <row r="83" spans="1:37" x14ac:dyDescent="0.2">
      <c r="A83" s="115">
        <v>46357</v>
      </c>
      <c r="B83" s="70"/>
      <c r="C83" s="71"/>
      <c r="D83" s="71"/>
      <c r="E83" s="71"/>
      <c r="F83" s="71"/>
      <c r="G83" s="71"/>
      <c r="H83" s="71"/>
      <c r="I83" s="70"/>
      <c r="J83" s="71"/>
      <c r="K83" s="71"/>
      <c r="L83" s="71"/>
      <c r="M83" s="72"/>
      <c r="N83" s="70"/>
      <c r="O83" s="71"/>
      <c r="P83" s="71"/>
      <c r="Q83" s="71"/>
      <c r="R83" s="72"/>
      <c r="S83" s="70"/>
      <c r="T83" s="71"/>
      <c r="U83" s="71"/>
      <c r="V83" s="71"/>
      <c r="W83" s="150"/>
      <c r="X83" s="71"/>
      <c r="Y83" s="71"/>
      <c r="Z83" s="25">
        <f t="shared" si="30"/>
        <v>0</v>
      </c>
      <c r="AA83" s="120"/>
      <c r="AB83" s="121"/>
      <c r="AC83" s="121"/>
      <c r="AD83" s="121"/>
      <c r="AE83" s="122"/>
      <c r="AF83" s="123"/>
      <c r="AG83" s="171" t="str">
        <f>IF(Z83=0,"",ROUND(Z83*'Parametri fiscali'!$B$9,2))</f>
        <v/>
      </c>
      <c r="AH83" s="171" t="str">
        <f t="shared" si="28"/>
        <v/>
      </c>
      <c r="AI83" s="28"/>
      <c r="AJ83" s="172" t="str">
        <f t="shared" si="29"/>
        <v/>
      </c>
      <c r="AK83" s="9"/>
    </row>
    <row r="84" spans="1:37" x14ac:dyDescent="0.2">
      <c r="A84" s="115">
        <v>46388</v>
      </c>
      <c r="B84" s="70"/>
      <c r="C84" s="71"/>
      <c r="D84" s="71"/>
      <c r="E84" s="71"/>
      <c r="F84" s="71"/>
      <c r="G84" s="71"/>
      <c r="H84" s="71"/>
      <c r="I84" s="70"/>
      <c r="J84" s="71"/>
      <c r="K84" s="71"/>
      <c r="L84" s="71"/>
      <c r="M84" s="72"/>
      <c r="N84" s="70"/>
      <c r="O84" s="71"/>
      <c r="P84" s="71"/>
      <c r="Q84" s="71"/>
      <c r="R84" s="72"/>
      <c r="S84" s="70"/>
      <c r="T84" s="71"/>
      <c r="U84" s="71"/>
      <c r="V84" s="71"/>
      <c r="W84" s="150"/>
      <c r="X84" s="71"/>
      <c r="Y84" s="71"/>
      <c r="Z84" s="25">
        <f t="shared" si="30"/>
        <v>0</v>
      </c>
      <c r="AA84" s="120"/>
      <c r="AB84" s="121"/>
      <c r="AC84" s="121"/>
      <c r="AD84" s="121"/>
      <c r="AE84" s="122"/>
      <c r="AF84" s="123"/>
      <c r="AG84" s="171" t="str">
        <f>IF(Z84=0,"",ROUND(Z84*'Parametri fiscali'!$B$9,2))</f>
        <v/>
      </c>
      <c r="AH84" s="171" t="str">
        <f t="shared" si="28"/>
        <v/>
      </c>
      <c r="AI84" s="28"/>
      <c r="AJ84" s="172" t="str">
        <f t="shared" si="29"/>
        <v/>
      </c>
      <c r="AK84" s="9"/>
    </row>
    <row r="85" spans="1:37" x14ac:dyDescent="0.2">
      <c r="A85" s="115">
        <v>46419</v>
      </c>
      <c r="B85" s="70"/>
      <c r="C85" s="71"/>
      <c r="D85" s="71"/>
      <c r="E85" s="71"/>
      <c r="F85" s="71"/>
      <c r="G85" s="71"/>
      <c r="H85" s="71"/>
      <c r="I85" s="70"/>
      <c r="J85" s="71"/>
      <c r="K85" s="71"/>
      <c r="L85" s="71"/>
      <c r="M85" s="72"/>
      <c r="N85" s="70"/>
      <c r="O85" s="71"/>
      <c r="P85" s="71"/>
      <c r="Q85" s="71"/>
      <c r="R85" s="72"/>
      <c r="S85" s="70"/>
      <c r="T85" s="71"/>
      <c r="U85" s="71"/>
      <c r="V85" s="71"/>
      <c r="W85" s="150"/>
      <c r="X85" s="71"/>
      <c r="Y85" s="71"/>
      <c r="Z85" s="25">
        <f t="shared" si="30"/>
        <v>0</v>
      </c>
      <c r="AA85" s="120"/>
      <c r="AB85" s="121"/>
      <c r="AC85" s="121"/>
      <c r="AD85" s="121"/>
      <c r="AE85" s="122"/>
      <c r="AF85" s="123"/>
      <c r="AG85" s="171" t="str">
        <f>IF(Z85=0,"",ROUND(Z85*'Parametri fiscali'!$B$9,2))</f>
        <v/>
      </c>
      <c r="AH85" s="171" t="str">
        <f t="shared" si="28"/>
        <v/>
      </c>
      <c r="AI85" s="28"/>
      <c r="AJ85" s="172" t="str">
        <f t="shared" si="29"/>
        <v/>
      </c>
      <c r="AK85" s="9"/>
    </row>
    <row r="86" spans="1:37" x14ac:dyDescent="0.2">
      <c r="A86" s="115">
        <v>46447</v>
      </c>
      <c r="B86" s="70"/>
      <c r="C86" s="71"/>
      <c r="D86" s="71"/>
      <c r="E86" s="71"/>
      <c r="F86" s="71"/>
      <c r="G86" s="71"/>
      <c r="H86" s="71"/>
      <c r="I86" s="70"/>
      <c r="J86" s="71"/>
      <c r="K86" s="71"/>
      <c r="L86" s="71"/>
      <c r="M86" s="72"/>
      <c r="N86" s="70"/>
      <c r="O86" s="71"/>
      <c r="P86" s="71"/>
      <c r="Q86" s="71"/>
      <c r="R86" s="72"/>
      <c r="S86" s="70"/>
      <c r="T86" s="71"/>
      <c r="U86" s="71"/>
      <c r="V86" s="71"/>
      <c r="W86" s="150"/>
      <c r="X86" s="71"/>
      <c r="Y86" s="71"/>
      <c r="Z86" s="25">
        <f t="shared" si="30"/>
        <v>0</v>
      </c>
      <c r="AA86" s="120"/>
      <c r="AB86" s="121"/>
      <c r="AC86" s="121"/>
      <c r="AD86" s="121"/>
      <c r="AE86" s="122"/>
      <c r="AF86" s="123"/>
      <c r="AG86" s="171" t="str">
        <f>IF(Z86=0,"",ROUND(Z86*'Parametri fiscali'!$B$9,2))</f>
        <v/>
      </c>
      <c r="AH86" s="171" t="str">
        <f t="shared" si="28"/>
        <v/>
      </c>
      <c r="AI86" s="28"/>
      <c r="AJ86" s="172" t="str">
        <f t="shared" si="29"/>
        <v/>
      </c>
      <c r="AK86" s="9"/>
    </row>
    <row r="87" spans="1:37" x14ac:dyDescent="0.2">
      <c r="A87" s="115">
        <v>46478</v>
      </c>
      <c r="B87" s="70"/>
      <c r="C87" s="71"/>
      <c r="D87" s="71"/>
      <c r="E87" s="71"/>
      <c r="F87" s="71"/>
      <c r="G87" s="71"/>
      <c r="H87" s="71"/>
      <c r="I87" s="70"/>
      <c r="J87" s="71"/>
      <c r="K87" s="71"/>
      <c r="L87" s="71"/>
      <c r="M87" s="72"/>
      <c r="N87" s="70"/>
      <c r="O87" s="71"/>
      <c r="P87" s="71"/>
      <c r="Q87" s="71"/>
      <c r="R87" s="72"/>
      <c r="S87" s="70"/>
      <c r="T87" s="71"/>
      <c r="U87" s="71"/>
      <c r="V87" s="71"/>
      <c r="W87" s="150"/>
      <c r="X87" s="71"/>
      <c r="Y87" s="71"/>
      <c r="Z87" s="25">
        <f t="shared" si="30"/>
        <v>0</v>
      </c>
      <c r="AA87" s="120"/>
      <c r="AB87" s="121"/>
      <c r="AC87" s="121"/>
      <c r="AD87" s="121"/>
      <c r="AE87" s="122"/>
      <c r="AF87" s="123"/>
      <c r="AG87" s="171" t="str">
        <f>IF(Z87=0,"",ROUND(Z87*'Parametri fiscali'!$B$9,2))</f>
        <v/>
      </c>
      <c r="AH87" s="171" t="str">
        <f t="shared" si="28"/>
        <v/>
      </c>
      <c r="AI87" s="28"/>
      <c r="AJ87" s="172" t="str">
        <f t="shared" si="29"/>
        <v/>
      </c>
      <c r="AK87" s="9"/>
    </row>
    <row r="88" spans="1:37" x14ac:dyDescent="0.2">
      <c r="A88" s="115">
        <v>46508</v>
      </c>
      <c r="B88" s="70"/>
      <c r="C88" s="71"/>
      <c r="D88" s="71"/>
      <c r="E88" s="71"/>
      <c r="F88" s="71"/>
      <c r="G88" s="71"/>
      <c r="H88" s="71"/>
      <c r="I88" s="70"/>
      <c r="J88" s="71"/>
      <c r="K88" s="71"/>
      <c r="L88" s="71"/>
      <c r="M88" s="72"/>
      <c r="N88" s="70"/>
      <c r="O88" s="71"/>
      <c r="P88" s="71"/>
      <c r="Q88" s="71"/>
      <c r="R88" s="72"/>
      <c r="S88" s="70"/>
      <c r="T88" s="71"/>
      <c r="U88" s="71"/>
      <c r="V88" s="71"/>
      <c r="W88" s="150"/>
      <c r="X88" s="71"/>
      <c r="Y88" s="71"/>
      <c r="Z88" s="25">
        <f t="shared" si="30"/>
        <v>0</v>
      </c>
      <c r="AA88" s="120"/>
      <c r="AB88" s="121"/>
      <c r="AC88" s="121"/>
      <c r="AD88" s="121"/>
      <c r="AE88" s="122"/>
      <c r="AF88" s="123"/>
      <c r="AG88" s="171" t="str">
        <f>IF(Z88=0,"",ROUND(Z88*'Parametri fiscali'!$B$9,2))</f>
        <v/>
      </c>
      <c r="AH88" s="171" t="str">
        <f t="shared" si="28"/>
        <v/>
      </c>
      <c r="AI88" s="28"/>
      <c r="AJ88" s="172" t="str">
        <f t="shared" si="29"/>
        <v/>
      </c>
      <c r="AK88" s="9"/>
    </row>
    <row r="89" spans="1:37" x14ac:dyDescent="0.2">
      <c r="A89" s="115">
        <v>46539</v>
      </c>
      <c r="B89" s="70"/>
      <c r="C89" s="71"/>
      <c r="D89" s="71"/>
      <c r="E89" s="71"/>
      <c r="F89" s="71"/>
      <c r="G89" s="71"/>
      <c r="H89" s="71"/>
      <c r="I89" s="70"/>
      <c r="J89" s="71"/>
      <c r="K89" s="71"/>
      <c r="L89" s="71"/>
      <c r="M89" s="72"/>
      <c r="N89" s="70"/>
      <c r="O89" s="71"/>
      <c r="P89" s="71"/>
      <c r="Q89" s="71"/>
      <c r="R89" s="72"/>
      <c r="S89" s="70"/>
      <c r="T89" s="71"/>
      <c r="U89" s="71"/>
      <c r="V89" s="71"/>
      <c r="W89" s="150"/>
      <c r="X89" s="71"/>
      <c r="Y89" s="71"/>
      <c r="Z89" s="25">
        <f t="shared" si="30"/>
        <v>0</v>
      </c>
      <c r="AA89" s="120"/>
      <c r="AB89" s="121"/>
      <c r="AC89" s="121"/>
      <c r="AD89" s="121"/>
      <c r="AE89" s="122"/>
      <c r="AF89" s="123"/>
      <c r="AG89" s="171" t="str">
        <f>IF(Z89=0,"",ROUND(Z89*'Parametri fiscali'!$B$9,2))</f>
        <v/>
      </c>
      <c r="AH89" s="171" t="str">
        <f t="shared" si="28"/>
        <v/>
      </c>
      <c r="AI89" s="28"/>
      <c r="AJ89" s="172" t="str">
        <f t="shared" si="29"/>
        <v/>
      </c>
      <c r="AK89" s="9"/>
    </row>
    <row r="90" spans="1:37" x14ac:dyDescent="0.2">
      <c r="A90" s="115">
        <v>46569</v>
      </c>
      <c r="B90" s="70"/>
      <c r="C90" s="71"/>
      <c r="D90" s="71"/>
      <c r="E90" s="71"/>
      <c r="F90" s="71"/>
      <c r="G90" s="71"/>
      <c r="H90" s="71"/>
      <c r="I90" s="70"/>
      <c r="J90" s="71"/>
      <c r="K90" s="71"/>
      <c r="L90" s="71"/>
      <c r="M90" s="72"/>
      <c r="N90" s="70"/>
      <c r="O90" s="71"/>
      <c r="P90" s="71"/>
      <c r="Q90" s="71"/>
      <c r="R90" s="72"/>
      <c r="S90" s="70"/>
      <c r="T90" s="71"/>
      <c r="U90" s="71"/>
      <c r="V90" s="71"/>
      <c r="W90" s="150"/>
      <c r="X90" s="71"/>
      <c r="Y90" s="71"/>
      <c r="Z90" s="25">
        <f t="shared" si="30"/>
        <v>0</v>
      </c>
      <c r="AA90" s="120"/>
      <c r="AB90" s="121"/>
      <c r="AC90" s="121"/>
      <c r="AD90" s="121"/>
      <c r="AE90" s="122"/>
      <c r="AF90" s="123"/>
      <c r="AG90" s="171" t="str">
        <f>IF(Z90=0,"",ROUND(Z90*'Parametri fiscali'!$B$9,2))</f>
        <v/>
      </c>
      <c r="AH90" s="171" t="str">
        <f t="shared" si="28"/>
        <v/>
      </c>
      <c r="AI90" s="28"/>
      <c r="AJ90" s="172" t="str">
        <f t="shared" si="29"/>
        <v/>
      </c>
      <c r="AK90" s="9"/>
    </row>
    <row r="91" spans="1:37" x14ac:dyDescent="0.2">
      <c r="A91" s="115">
        <v>46600</v>
      </c>
      <c r="B91" s="70"/>
      <c r="C91" s="71"/>
      <c r="D91" s="71"/>
      <c r="E91" s="71"/>
      <c r="F91" s="71"/>
      <c r="G91" s="71"/>
      <c r="H91" s="71"/>
      <c r="I91" s="70"/>
      <c r="J91" s="71"/>
      <c r="K91" s="71"/>
      <c r="L91" s="71"/>
      <c r="M91" s="72"/>
      <c r="N91" s="70"/>
      <c r="O91" s="71"/>
      <c r="P91" s="71"/>
      <c r="Q91" s="71"/>
      <c r="R91" s="72"/>
      <c r="S91" s="70"/>
      <c r="T91" s="71"/>
      <c r="U91" s="71"/>
      <c r="V91" s="71"/>
      <c r="W91" s="150"/>
      <c r="X91" s="71"/>
      <c r="Y91" s="71"/>
      <c r="Z91" s="25">
        <f t="shared" si="30"/>
        <v>0</v>
      </c>
      <c r="AA91" s="120"/>
      <c r="AB91" s="121"/>
      <c r="AC91" s="121"/>
      <c r="AD91" s="121"/>
      <c r="AE91" s="122"/>
      <c r="AF91" s="123"/>
      <c r="AG91" s="171" t="str">
        <f>IF(Z91=0,"",ROUND(Z91*'Parametri fiscali'!$B$9,2))</f>
        <v/>
      </c>
      <c r="AH91" s="171" t="str">
        <f t="shared" si="28"/>
        <v/>
      </c>
      <c r="AI91" s="28"/>
      <c r="AJ91" s="172" t="str">
        <f t="shared" si="29"/>
        <v/>
      </c>
      <c r="AK91" s="9"/>
    </row>
    <row r="92" spans="1:37" x14ac:dyDescent="0.2">
      <c r="A92" s="115">
        <v>46631</v>
      </c>
      <c r="B92" s="70"/>
      <c r="C92" s="71"/>
      <c r="D92" s="71"/>
      <c r="E92" s="71"/>
      <c r="F92" s="71"/>
      <c r="G92" s="71"/>
      <c r="H92" s="71"/>
      <c r="I92" s="70"/>
      <c r="J92" s="71"/>
      <c r="K92" s="71"/>
      <c r="L92" s="71"/>
      <c r="M92" s="72"/>
      <c r="N92" s="70"/>
      <c r="O92" s="71"/>
      <c r="P92" s="71"/>
      <c r="Q92" s="71"/>
      <c r="R92" s="72"/>
      <c r="S92" s="70"/>
      <c r="T92" s="71"/>
      <c r="U92" s="71"/>
      <c r="V92" s="71"/>
      <c r="W92" s="150"/>
      <c r="X92" s="71"/>
      <c r="Y92" s="71"/>
      <c r="Z92" s="25">
        <f t="shared" si="30"/>
        <v>0</v>
      </c>
      <c r="AA92" s="120"/>
      <c r="AB92" s="121"/>
      <c r="AC92" s="121"/>
      <c r="AD92" s="121"/>
      <c r="AE92" s="122"/>
      <c r="AF92" s="123"/>
      <c r="AG92" s="171" t="str">
        <f>IF(Z92=0,"",ROUND(Z92*'Parametri fiscali'!$B$9,2))</f>
        <v/>
      </c>
      <c r="AH92" s="171" t="str">
        <f t="shared" si="28"/>
        <v/>
      </c>
      <c r="AI92" s="28"/>
      <c r="AJ92" s="172" t="str">
        <f t="shared" si="29"/>
        <v/>
      </c>
      <c r="AK92" s="9"/>
    </row>
    <row r="93" spans="1:37" x14ac:dyDescent="0.2">
      <c r="A93" s="115">
        <v>46661</v>
      </c>
      <c r="B93" s="70"/>
      <c r="C93" s="71"/>
      <c r="D93" s="71"/>
      <c r="E93" s="71"/>
      <c r="F93" s="71"/>
      <c r="G93" s="71"/>
      <c r="H93" s="71"/>
      <c r="I93" s="70"/>
      <c r="J93" s="71"/>
      <c r="K93" s="71"/>
      <c r="L93" s="71"/>
      <c r="M93" s="72"/>
      <c r="N93" s="70"/>
      <c r="O93" s="71"/>
      <c r="P93" s="71"/>
      <c r="Q93" s="71"/>
      <c r="R93" s="72"/>
      <c r="S93" s="70"/>
      <c r="T93" s="71"/>
      <c r="U93" s="71"/>
      <c r="V93" s="71"/>
      <c r="W93" s="150"/>
      <c r="X93" s="71"/>
      <c r="Y93" s="71"/>
      <c r="Z93" s="25">
        <f t="shared" si="30"/>
        <v>0</v>
      </c>
      <c r="AA93" s="120"/>
      <c r="AB93" s="121"/>
      <c r="AC93" s="121"/>
      <c r="AD93" s="121"/>
      <c r="AE93" s="122"/>
      <c r="AF93" s="123"/>
      <c r="AG93" s="171" t="str">
        <f>IF(Z93=0,"",ROUND(Z93*'Parametri fiscali'!$B$9,2))</f>
        <v/>
      </c>
      <c r="AH93" s="171" t="str">
        <f t="shared" si="28"/>
        <v/>
      </c>
      <c r="AI93" s="28"/>
      <c r="AJ93" s="172" t="str">
        <f t="shared" si="29"/>
        <v/>
      </c>
      <c r="AK93" s="9"/>
    </row>
    <row r="94" spans="1:37" x14ac:dyDescent="0.2">
      <c r="A94" s="115">
        <v>46692</v>
      </c>
      <c r="B94" s="70"/>
      <c r="C94" s="71"/>
      <c r="D94" s="71"/>
      <c r="E94" s="71"/>
      <c r="F94" s="71"/>
      <c r="G94" s="71"/>
      <c r="H94" s="71"/>
      <c r="I94" s="70"/>
      <c r="J94" s="71"/>
      <c r="K94" s="71"/>
      <c r="L94" s="71"/>
      <c r="M94" s="72"/>
      <c r="N94" s="70"/>
      <c r="O94" s="71"/>
      <c r="P94" s="71"/>
      <c r="Q94" s="71"/>
      <c r="R94" s="72"/>
      <c r="S94" s="70"/>
      <c r="T94" s="71"/>
      <c r="U94" s="71"/>
      <c r="V94" s="71"/>
      <c r="W94" s="150"/>
      <c r="X94" s="74"/>
      <c r="Y94" s="71"/>
      <c r="Z94" s="25">
        <f t="shared" si="30"/>
        <v>0</v>
      </c>
      <c r="AA94" s="120"/>
      <c r="AB94" s="121"/>
      <c r="AC94" s="121"/>
      <c r="AD94" s="121"/>
      <c r="AE94" s="122"/>
      <c r="AF94" s="123"/>
      <c r="AG94" s="171" t="str">
        <f>IF(Z94=0,"",ROUND(Z94*'Parametri fiscali'!$B$9,2))</f>
        <v/>
      </c>
      <c r="AH94" s="171" t="str">
        <f t="shared" si="28"/>
        <v/>
      </c>
      <c r="AI94" s="28"/>
      <c r="AJ94" s="172" t="str">
        <f t="shared" si="29"/>
        <v/>
      </c>
      <c r="AK94" s="9"/>
    </row>
    <row r="95" spans="1:37" ht="16" customHeight="1" thickBot="1" x14ac:dyDescent="0.25">
      <c r="A95" s="116">
        <v>46722</v>
      </c>
      <c r="B95" s="65"/>
      <c r="C95" s="66"/>
      <c r="D95" s="66"/>
      <c r="E95" s="66"/>
      <c r="F95" s="66"/>
      <c r="G95" s="66"/>
      <c r="H95" s="66"/>
      <c r="I95" s="65"/>
      <c r="J95" s="66"/>
      <c r="K95" s="66"/>
      <c r="L95" s="66"/>
      <c r="M95" s="67"/>
      <c r="N95" s="65"/>
      <c r="O95" s="66"/>
      <c r="P95" s="66"/>
      <c r="Q95" s="66"/>
      <c r="R95" s="67"/>
      <c r="S95" s="135"/>
      <c r="T95" s="66"/>
      <c r="U95" s="146"/>
      <c r="V95" s="66"/>
      <c r="W95" s="66"/>
      <c r="X95" s="66"/>
      <c r="Y95" s="67"/>
      <c r="Z95" s="93"/>
      <c r="AA95" s="119"/>
      <c r="AB95" s="94"/>
      <c r="AC95" s="94"/>
      <c r="AD95" s="94"/>
      <c r="AE95" s="95"/>
      <c r="AF95" s="96"/>
      <c r="AG95" s="94"/>
      <c r="AH95" s="94"/>
      <c r="AI95" s="95"/>
      <c r="AJ95" s="96"/>
      <c r="AK95" s="9"/>
    </row>
  </sheetData>
  <mergeCells count="9">
    <mergeCell ref="A1:A2"/>
    <mergeCell ref="B1:H2"/>
    <mergeCell ref="S1:Y2"/>
    <mergeCell ref="Z1:Z3"/>
    <mergeCell ref="AA1:AF2"/>
    <mergeCell ref="I1:M2"/>
    <mergeCell ref="AG64:AJ64"/>
    <mergeCell ref="N1:R2"/>
    <mergeCell ref="AG1:AJ2"/>
  </mergeCells>
  <conditionalFormatting sqref="G8:H46">
    <cfRule type="notContainsBlanks" dxfId="9" priority="22">
      <formula>LEN(TRIM(G8))&gt;0</formula>
    </cfRule>
  </conditionalFormatting>
  <conditionalFormatting sqref="L16:M33">
    <cfRule type="notContainsBlanks" dxfId="8" priority="21">
      <formula>LEN(TRIM(L16))&gt;0</formula>
    </cfRule>
  </conditionalFormatting>
  <conditionalFormatting sqref="Q16:R33 X16:Y33">
    <cfRule type="notContainsBlanks" dxfId="7" priority="14">
      <formula>LEN(TRIM(Q16))&gt;0</formula>
    </cfRule>
  </conditionalFormatting>
  <conditionalFormatting sqref="Q35:R70">
    <cfRule type="notContainsBlanks" dxfId="6" priority="4">
      <formula>LEN(TRIM(Q35))&gt;0</formula>
    </cfRule>
  </conditionalFormatting>
  <conditionalFormatting sqref="AE8:AE95">
    <cfRule type="cellIs" dxfId="5" priority="5" operator="greaterThan">
      <formula>0</formula>
    </cfRule>
  </conditionalFormatting>
  <conditionalFormatting sqref="AF23:AF33 AJ23:AJ33 AF35 AJ35 AF37 AJ37 AF40 AJ40">
    <cfRule type="cellIs" dxfId="4" priority="35" operator="greaterThan">
      <formula>0.1</formula>
    </cfRule>
  </conditionalFormatting>
  <conditionalFormatting sqref="AF44 AJ44 AF46 AJ46 AF48:AF49 AJ48:AJ49 AF51 AJ51">
    <cfRule type="cellIs" dxfId="3" priority="9" operator="greaterThan">
      <formula>0.1</formula>
    </cfRule>
  </conditionalFormatting>
  <conditionalFormatting sqref="AF54 AJ54 AF59 AJ59 AF63 AJ63 AJ65:AJ70 AF65:AF95 AJ73:AJ95">
    <cfRule type="cellIs" dxfId="2" priority="6" operator="greaterThan">
      <formula>0.1</formula>
    </cfRule>
  </conditionalFormatting>
  <conditionalFormatting sqref="AI8:AI63 AI65:AI70 AI73:AI95">
    <cfRule type="cellIs" dxfId="1" priority="3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>
      <selection activeCell="C12" sqref="C12"/>
    </sheetView>
  </sheetViews>
  <sheetFormatPr baseColWidth="10" defaultColWidth="11.5" defaultRowHeight="15" x14ac:dyDescent="0.2"/>
  <cols>
    <col min="1" max="1" width="35.1640625" bestFit="1" customWidth="1"/>
  </cols>
  <sheetData>
    <row r="1" spans="1:13" x14ac:dyDescent="0.2">
      <c r="A1" s="18" t="s">
        <v>86</v>
      </c>
      <c r="B1" s="18" t="s">
        <v>87</v>
      </c>
      <c r="C1" s="18" t="s">
        <v>88</v>
      </c>
      <c r="D1" s="18" t="s">
        <v>89</v>
      </c>
      <c r="E1" s="18" t="s">
        <v>90</v>
      </c>
      <c r="F1" s="18" t="s">
        <v>91</v>
      </c>
      <c r="G1" s="18" t="s">
        <v>92</v>
      </c>
      <c r="H1" s="18" t="s">
        <v>72</v>
      </c>
      <c r="I1" s="18" t="s">
        <v>73</v>
      </c>
      <c r="J1" s="18" t="s">
        <v>74</v>
      </c>
      <c r="K1" s="18" t="s">
        <v>75</v>
      </c>
    </row>
    <row r="2" spans="1:13" x14ac:dyDescent="0.2">
      <c r="A2" s="108" t="s">
        <v>93</v>
      </c>
      <c r="B2" s="13" t="s">
        <v>94</v>
      </c>
      <c r="C2" s="110">
        <f>G2+(G2*4%)</f>
        <v>784.11840000000007</v>
      </c>
      <c r="D2" s="13" t="s">
        <v>95</v>
      </c>
      <c r="E2" s="14">
        <v>44239</v>
      </c>
      <c r="F2" s="14">
        <v>44249</v>
      </c>
      <c r="G2" s="109">
        <v>753.96</v>
      </c>
      <c r="H2" s="19">
        <f>((G2*78%)*5%)+((G2*78%)*25.98%)</f>
        <v>182.18991024000002</v>
      </c>
      <c r="I2" s="19">
        <f>H2</f>
        <v>182.18991024000002</v>
      </c>
      <c r="J2" s="20">
        <v>182.19</v>
      </c>
      <c r="K2" s="19">
        <f>I2-J2</f>
        <v>-8.975999998028783E-5</v>
      </c>
    </row>
    <row r="3" spans="1:13" x14ac:dyDescent="0.2">
      <c r="A3" s="108" t="s">
        <v>96</v>
      </c>
      <c r="B3" s="13" t="s">
        <v>97</v>
      </c>
      <c r="C3" s="110">
        <f>G3+(G3*4%)</f>
        <v>1200.7112</v>
      </c>
      <c r="D3" s="13" t="s">
        <v>95</v>
      </c>
      <c r="E3" s="14">
        <v>44260</v>
      </c>
      <c r="F3" s="14">
        <v>44287</v>
      </c>
      <c r="G3" s="109">
        <v>1154.53</v>
      </c>
      <c r="H3" s="19">
        <f>((G3*78%)*5%)+((G3*78%)*25.98%)</f>
        <v>278.98524732000004</v>
      </c>
      <c r="I3" s="19">
        <f>H3+I2</f>
        <v>461.17515756000006</v>
      </c>
      <c r="J3" s="20">
        <v>278.99</v>
      </c>
      <c r="K3" s="19">
        <f>K2+H3-J3</f>
        <v>-4.8424399999476009E-3</v>
      </c>
    </row>
    <row r="4" spans="1:13" x14ac:dyDescent="0.2">
      <c r="A4" s="108" t="s">
        <v>98</v>
      </c>
      <c r="B4" s="13" t="s">
        <v>99</v>
      </c>
      <c r="C4" s="110">
        <v>152.91999999999999</v>
      </c>
      <c r="D4" s="13" t="s">
        <v>95</v>
      </c>
      <c r="E4" s="14">
        <v>44510</v>
      </c>
      <c r="F4" s="14">
        <v>44629</v>
      </c>
      <c r="G4" s="109">
        <v>152.91999999999999</v>
      </c>
      <c r="H4" s="19">
        <f>((G4*78%)*5%)+((G4*78%)*25.98%)</f>
        <v>36.952200480000002</v>
      </c>
      <c r="I4" s="19">
        <f>H4+I3</f>
        <v>498.12735804000005</v>
      </c>
      <c r="J4" s="20">
        <v>36.950000000000003</v>
      </c>
      <c r="K4" s="19">
        <f>K3+H4-J4</f>
        <v>-2.6419599999485399E-3</v>
      </c>
    </row>
    <row r="5" spans="1:13" x14ac:dyDescent="0.2">
      <c r="A5" s="108" t="s">
        <v>100</v>
      </c>
      <c r="B5" s="13" t="s">
        <v>101</v>
      </c>
      <c r="C5" s="113">
        <v>0</v>
      </c>
      <c r="D5" s="13" t="s">
        <v>95</v>
      </c>
      <c r="E5" s="112" t="s">
        <v>102</v>
      </c>
      <c r="F5" s="14">
        <v>45958</v>
      </c>
      <c r="G5" s="109">
        <v>1327.9</v>
      </c>
      <c r="H5" s="109">
        <v>0</v>
      </c>
      <c r="I5" s="109">
        <v>0</v>
      </c>
      <c r="J5" s="20">
        <v>0</v>
      </c>
      <c r="K5" s="109">
        <v>0</v>
      </c>
      <c r="L5" s="111" t="s">
        <v>102</v>
      </c>
      <c r="M5" s="131">
        <v>1391.67</v>
      </c>
    </row>
  </sheetData>
  <conditionalFormatting sqref="E2:F5">
    <cfRule type="notContainsBlanks" dxfId="0" priority="1">
      <formula>LEN(TRIM(E2))&gt;0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25"/>
  <sheetViews>
    <sheetView workbookViewId="0">
      <selection activeCell="I30" sqref="I30"/>
    </sheetView>
  </sheetViews>
  <sheetFormatPr baseColWidth="10" defaultColWidth="11.5" defaultRowHeight="15" x14ac:dyDescent="0.2"/>
  <cols>
    <col min="1" max="1" width="2.6640625" customWidth="1"/>
    <col min="3" max="3" width="17.5" customWidth="1"/>
    <col min="4" max="4" width="24" customWidth="1"/>
    <col min="5" max="5" width="31.1640625" bestFit="1" customWidth="1"/>
    <col min="6" max="6" width="17.83203125" customWidth="1"/>
    <col min="8" max="8" width="10.83203125" customWidth="1"/>
    <col min="9" max="9" width="11.6640625" customWidth="1"/>
    <col min="10" max="11" width="10.83203125" style="39" customWidth="1"/>
    <col min="14" max="14" width="11.33203125" bestFit="1" customWidth="1"/>
    <col min="15" max="17" width="12" bestFit="1" customWidth="1"/>
    <col min="18" max="18" width="12" customWidth="1"/>
    <col min="19" max="19" width="12" bestFit="1" customWidth="1"/>
    <col min="20" max="20" width="11.5" customWidth="1"/>
  </cols>
  <sheetData>
    <row r="1" spans="2:20" s="42" customFormat="1" ht="16" customHeight="1" x14ac:dyDescent="0.2">
      <c r="B1" s="42" t="s">
        <v>103</v>
      </c>
      <c r="C1" s="42" t="s">
        <v>104</v>
      </c>
      <c r="D1" s="42" t="s">
        <v>105</v>
      </c>
      <c r="E1" s="42" t="s">
        <v>106</v>
      </c>
      <c r="F1" s="42" t="s">
        <v>107</v>
      </c>
      <c r="G1" s="42" t="s">
        <v>108</v>
      </c>
      <c r="H1" s="42" t="s">
        <v>109</v>
      </c>
      <c r="I1" s="42" t="s">
        <v>110</v>
      </c>
      <c r="J1" s="42" t="s">
        <v>111</v>
      </c>
      <c r="K1" s="42" t="s">
        <v>112</v>
      </c>
      <c r="L1" s="42" t="s">
        <v>113</v>
      </c>
      <c r="N1" s="202" t="s">
        <v>114</v>
      </c>
      <c r="O1" s="203"/>
      <c r="P1" s="203"/>
      <c r="Q1" s="203"/>
      <c r="R1" s="203"/>
      <c r="S1" s="203"/>
      <c r="T1" s="203"/>
    </row>
    <row r="2" spans="2:20" x14ac:dyDescent="0.2">
      <c r="H2" s="39"/>
      <c r="I2" s="40"/>
      <c r="N2" s="9"/>
      <c r="O2" s="9"/>
      <c r="P2" s="9"/>
      <c r="Q2" s="9"/>
      <c r="R2" s="9"/>
      <c r="S2" s="9"/>
      <c r="T2" s="9"/>
    </row>
    <row r="3" spans="2:20" x14ac:dyDescent="0.2">
      <c r="B3" s="48">
        <v>44076</v>
      </c>
      <c r="C3" s="49" t="s">
        <v>115</v>
      </c>
      <c r="D3" s="50" t="s">
        <v>116</v>
      </c>
      <c r="E3" s="51" t="s">
        <v>117</v>
      </c>
      <c r="F3" s="50" t="s">
        <v>118</v>
      </c>
      <c r="G3" s="52">
        <v>44075</v>
      </c>
      <c r="H3" s="52">
        <v>44377</v>
      </c>
      <c r="I3" s="53">
        <v>25200</v>
      </c>
      <c r="J3" s="54" t="s">
        <v>119</v>
      </c>
      <c r="K3" s="55">
        <v>180</v>
      </c>
      <c r="L3" s="114" t="s">
        <v>120</v>
      </c>
      <c r="N3" s="9"/>
      <c r="O3" s="18" t="s">
        <v>121</v>
      </c>
      <c r="P3" s="18" t="s">
        <v>122</v>
      </c>
      <c r="Q3" s="18" t="s">
        <v>123</v>
      </c>
      <c r="R3" s="18" t="s">
        <v>124</v>
      </c>
      <c r="S3" s="18" t="s">
        <v>125</v>
      </c>
      <c r="T3" s="18" t="s">
        <v>126</v>
      </c>
    </row>
    <row r="4" spans="2:20" x14ac:dyDescent="0.2">
      <c r="H4" s="39"/>
      <c r="I4" s="40"/>
      <c r="N4" s="21" t="s">
        <v>127</v>
      </c>
      <c r="O4" s="34">
        <v>10080</v>
      </c>
      <c r="P4" s="35">
        <v>0</v>
      </c>
      <c r="Q4" s="35">
        <v>0</v>
      </c>
      <c r="R4" s="35">
        <v>0</v>
      </c>
      <c r="S4" s="34">
        <f t="shared" ref="S4:S10" si="0">O4+P4+Q4+R4</f>
        <v>10080</v>
      </c>
      <c r="T4" s="199">
        <f>SUM(S4:S10)</f>
        <v>242380</v>
      </c>
    </row>
    <row r="5" spans="2:20" x14ac:dyDescent="0.2">
      <c r="B5" s="48">
        <v>44315</v>
      </c>
      <c r="C5" s="56" t="s">
        <v>128</v>
      </c>
      <c r="D5" s="50" t="s">
        <v>129</v>
      </c>
      <c r="E5" s="51" t="s">
        <v>130</v>
      </c>
      <c r="F5" s="50" t="s">
        <v>118</v>
      </c>
      <c r="G5" s="52">
        <v>44317</v>
      </c>
      <c r="H5" s="52">
        <v>44863</v>
      </c>
      <c r="I5" s="53">
        <v>25200</v>
      </c>
      <c r="J5" s="56" t="s">
        <v>128</v>
      </c>
      <c r="K5" s="56" t="s">
        <v>128</v>
      </c>
      <c r="L5" s="114" t="s">
        <v>120</v>
      </c>
      <c r="N5" s="22" t="s">
        <v>131</v>
      </c>
      <c r="O5" s="36">
        <v>27900</v>
      </c>
      <c r="P5" s="36">
        <v>11200</v>
      </c>
      <c r="Q5" s="36">
        <v>0</v>
      </c>
      <c r="R5" s="36">
        <v>0</v>
      </c>
      <c r="S5" s="36">
        <f t="shared" si="0"/>
        <v>39100</v>
      </c>
      <c r="T5" s="200"/>
    </row>
    <row r="6" spans="2:20" x14ac:dyDescent="0.2">
      <c r="C6" s="43"/>
      <c r="D6" s="43"/>
      <c r="E6" s="43"/>
      <c r="F6" s="43"/>
      <c r="H6" s="39"/>
      <c r="I6" s="40"/>
      <c r="N6" s="21" t="s">
        <v>132</v>
      </c>
      <c r="O6" s="35">
        <v>26100</v>
      </c>
      <c r="P6" s="35">
        <v>18000</v>
      </c>
      <c r="Q6" s="35"/>
      <c r="R6" s="35">
        <v>0</v>
      </c>
      <c r="S6" s="35">
        <f t="shared" si="0"/>
        <v>44100</v>
      </c>
      <c r="T6" s="200"/>
    </row>
    <row r="7" spans="2:20" x14ac:dyDescent="0.2">
      <c r="B7" s="48">
        <v>44377</v>
      </c>
      <c r="C7" s="49" t="s">
        <v>133</v>
      </c>
      <c r="D7" s="50" t="s">
        <v>116</v>
      </c>
      <c r="E7" s="51" t="s">
        <v>117</v>
      </c>
      <c r="F7" s="50" t="s">
        <v>134</v>
      </c>
      <c r="G7" s="52">
        <v>44378</v>
      </c>
      <c r="H7" s="52">
        <v>44515</v>
      </c>
      <c r="I7" s="53">
        <v>8640</v>
      </c>
      <c r="J7" s="54" t="s">
        <v>135</v>
      </c>
      <c r="K7" s="55">
        <v>180</v>
      </c>
      <c r="L7" s="114" t="s">
        <v>120</v>
      </c>
      <c r="N7" s="22" t="s">
        <v>136</v>
      </c>
      <c r="O7" s="36">
        <v>0</v>
      </c>
      <c r="P7" s="36">
        <v>0</v>
      </c>
      <c r="Q7" s="36">
        <v>40000</v>
      </c>
      <c r="R7" s="36">
        <v>0</v>
      </c>
      <c r="S7" s="36">
        <f t="shared" si="0"/>
        <v>40000</v>
      </c>
      <c r="T7" s="200"/>
    </row>
    <row r="8" spans="2:20" x14ac:dyDescent="0.2">
      <c r="B8" s="45"/>
      <c r="C8" s="43"/>
      <c r="E8" s="44"/>
      <c r="G8" s="46"/>
      <c r="H8" s="46"/>
      <c r="I8" s="41"/>
      <c r="K8" s="47"/>
      <c r="N8" s="21" t="s">
        <v>137</v>
      </c>
      <c r="O8" s="35">
        <v>0</v>
      </c>
      <c r="P8" s="35">
        <v>0</v>
      </c>
      <c r="Q8" s="35">
        <v>40000</v>
      </c>
      <c r="R8" s="35">
        <v>0</v>
      </c>
      <c r="S8" s="35">
        <f t="shared" si="0"/>
        <v>40000</v>
      </c>
      <c r="T8" s="200"/>
    </row>
    <row r="9" spans="2:20" x14ac:dyDescent="0.2">
      <c r="B9" s="48">
        <v>44589</v>
      </c>
      <c r="C9" s="56" t="s">
        <v>128</v>
      </c>
      <c r="D9" s="50" t="s">
        <v>129</v>
      </c>
      <c r="E9" s="51" t="s">
        <v>130</v>
      </c>
      <c r="F9" s="50" t="s">
        <v>138</v>
      </c>
      <c r="G9" s="52">
        <v>44197</v>
      </c>
      <c r="H9" s="52">
        <v>44863</v>
      </c>
      <c r="I9" s="53">
        <v>4000</v>
      </c>
      <c r="J9" s="56" t="s">
        <v>128</v>
      </c>
      <c r="K9" s="56" t="s">
        <v>128</v>
      </c>
      <c r="L9" s="114" t="s">
        <v>120</v>
      </c>
      <c r="N9" s="22" t="s">
        <v>139</v>
      </c>
      <c r="O9" s="36">
        <v>0</v>
      </c>
      <c r="P9" s="36">
        <v>0</v>
      </c>
      <c r="Q9" s="36">
        <v>40000</v>
      </c>
      <c r="R9" s="36">
        <v>0</v>
      </c>
      <c r="S9" s="36">
        <f t="shared" si="0"/>
        <v>40000</v>
      </c>
      <c r="T9" s="200"/>
    </row>
    <row r="10" spans="2:20" x14ac:dyDescent="0.2">
      <c r="B10" s="45"/>
      <c r="H10" s="39"/>
      <c r="I10" s="40"/>
      <c r="N10" s="21" t="s">
        <v>140</v>
      </c>
      <c r="O10" s="35">
        <v>0</v>
      </c>
      <c r="P10" s="35">
        <v>0</v>
      </c>
      <c r="Q10" s="35">
        <v>0</v>
      </c>
      <c r="R10" s="35">
        <v>29100</v>
      </c>
      <c r="S10" s="35">
        <f t="shared" si="0"/>
        <v>29100</v>
      </c>
      <c r="T10" s="201"/>
    </row>
    <row r="11" spans="2:20" x14ac:dyDescent="0.2">
      <c r="B11" s="48">
        <v>44515</v>
      </c>
      <c r="C11" s="49" t="s">
        <v>141</v>
      </c>
      <c r="D11" s="50" t="s">
        <v>116</v>
      </c>
      <c r="E11" s="51" t="s">
        <v>117</v>
      </c>
      <c r="F11" s="50" t="s">
        <v>134</v>
      </c>
      <c r="G11" s="52">
        <v>44516</v>
      </c>
      <c r="H11" s="52">
        <v>44880</v>
      </c>
      <c r="I11" s="53">
        <v>29700</v>
      </c>
      <c r="J11" s="54" t="s">
        <v>142</v>
      </c>
      <c r="K11" s="55">
        <v>180</v>
      </c>
      <c r="L11" s="114" t="s">
        <v>120</v>
      </c>
      <c r="N11" s="157"/>
      <c r="O11" s="158"/>
      <c r="P11" s="158"/>
      <c r="Q11" s="158"/>
      <c r="R11" s="158"/>
      <c r="S11" s="158"/>
      <c r="T11" s="154"/>
    </row>
    <row r="12" spans="2:20" x14ac:dyDescent="0.2">
      <c r="H12" s="39"/>
      <c r="I12" s="40"/>
      <c r="N12" s="159" t="s">
        <v>143</v>
      </c>
      <c r="O12" s="159">
        <f>SUM(O4:O10)</f>
        <v>64080</v>
      </c>
      <c r="P12" s="159">
        <f>SUM(P4:P10)</f>
        <v>29200</v>
      </c>
      <c r="Q12" s="159">
        <f>SUM(Q4:Q10)</f>
        <v>120000</v>
      </c>
      <c r="R12" s="159">
        <f>SUM(R4:R10)</f>
        <v>29100</v>
      </c>
      <c r="S12" s="159">
        <f>SUM(S4:S10)</f>
        <v>242380</v>
      </c>
      <c r="T12" s="9"/>
    </row>
    <row r="13" spans="2:20" x14ac:dyDescent="0.2">
      <c r="B13" s="48">
        <v>44872</v>
      </c>
      <c r="C13" s="49" t="s">
        <v>144</v>
      </c>
      <c r="D13" s="50" t="s">
        <v>116</v>
      </c>
      <c r="E13" s="51" t="s">
        <v>117</v>
      </c>
      <c r="F13" s="50" t="s">
        <v>138</v>
      </c>
      <c r="G13" s="52">
        <v>44880</v>
      </c>
      <c r="H13" s="52">
        <v>44880</v>
      </c>
      <c r="I13" s="53">
        <v>540</v>
      </c>
      <c r="J13" s="54" t="s">
        <v>145</v>
      </c>
      <c r="K13" s="55">
        <v>180</v>
      </c>
      <c r="L13" s="114" t="s">
        <v>120</v>
      </c>
      <c r="N13" s="9"/>
      <c r="O13" s="9"/>
      <c r="P13" s="9"/>
      <c r="Q13" s="9"/>
      <c r="R13" s="9"/>
      <c r="S13" s="9"/>
      <c r="T13" s="9"/>
    </row>
    <row r="14" spans="2:20" ht="16" customHeight="1" x14ac:dyDescent="0.2">
      <c r="H14" s="39"/>
      <c r="I14" s="40"/>
      <c r="N14" s="202" t="s">
        <v>146</v>
      </c>
      <c r="O14" s="178"/>
      <c r="P14" s="178"/>
      <c r="Q14" s="178"/>
      <c r="R14" s="178"/>
      <c r="S14" s="178"/>
      <c r="T14" s="178"/>
    </row>
    <row r="15" spans="2:20" x14ac:dyDescent="0.2">
      <c r="B15" s="48">
        <v>44907</v>
      </c>
      <c r="C15" s="49" t="s">
        <v>147</v>
      </c>
      <c r="D15" s="50" t="s">
        <v>148</v>
      </c>
      <c r="E15" s="103" t="s">
        <v>149</v>
      </c>
      <c r="F15" s="50" t="s">
        <v>118</v>
      </c>
      <c r="G15" s="52">
        <v>44897</v>
      </c>
      <c r="H15" s="52">
        <v>45261</v>
      </c>
      <c r="I15" s="53">
        <v>40000</v>
      </c>
      <c r="J15" s="56" t="s">
        <v>128</v>
      </c>
      <c r="K15" s="56" t="s">
        <v>128</v>
      </c>
      <c r="L15" s="114" t="s">
        <v>120</v>
      </c>
      <c r="N15" s="9"/>
      <c r="O15" s="9"/>
      <c r="P15" s="9"/>
      <c r="Q15" s="9"/>
      <c r="R15" s="9"/>
      <c r="S15" s="9"/>
      <c r="T15" s="9"/>
    </row>
    <row r="16" spans="2:20" x14ac:dyDescent="0.2">
      <c r="B16" s="45"/>
      <c r="D16" s="44"/>
      <c r="E16" s="44"/>
      <c r="F16" s="44"/>
      <c r="N16" s="9"/>
      <c r="O16" s="18" t="s">
        <v>121</v>
      </c>
      <c r="P16" s="18" t="s">
        <v>122</v>
      </c>
      <c r="Q16" s="18" t="s">
        <v>123</v>
      </c>
      <c r="R16" s="18" t="s">
        <v>124</v>
      </c>
      <c r="S16" s="18" t="s">
        <v>125</v>
      </c>
      <c r="T16" s="18" t="s">
        <v>126</v>
      </c>
    </row>
    <row r="17" spans="2:20" x14ac:dyDescent="0.2">
      <c r="B17" s="48">
        <v>45260</v>
      </c>
      <c r="C17" s="49" t="s">
        <v>150</v>
      </c>
      <c r="D17" s="50" t="s">
        <v>148</v>
      </c>
      <c r="E17" s="103" t="s">
        <v>151</v>
      </c>
      <c r="F17" s="50" t="s">
        <v>118</v>
      </c>
      <c r="G17" s="52">
        <v>45262</v>
      </c>
      <c r="H17" s="52">
        <v>45627</v>
      </c>
      <c r="I17" s="53">
        <v>40000</v>
      </c>
      <c r="J17" s="56" t="s">
        <v>128</v>
      </c>
      <c r="K17" s="56" t="s">
        <v>128</v>
      </c>
      <c r="L17" s="114" t="s">
        <v>120</v>
      </c>
      <c r="N17" s="21" t="s">
        <v>127</v>
      </c>
      <c r="O17" s="34">
        <f>SUM(Fatturazioni!D8:D11)</f>
        <v>10080</v>
      </c>
      <c r="P17" s="35">
        <f>SUM(Fatturazioni!I8:I11)</f>
        <v>0</v>
      </c>
      <c r="Q17" s="35">
        <f>SUM(Fatturazioni!N8:N11)</f>
        <v>0</v>
      </c>
      <c r="R17" s="155">
        <v>0</v>
      </c>
      <c r="S17" s="34">
        <f t="shared" ref="S17:S23" si="1">O17+P17+Q17+R17</f>
        <v>10080</v>
      </c>
      <c r="T17" s="199">
        <f>SUM(S17:S23)</f>
        <v>213280</v>
      </c>
    </row>
    <row r="18" spans="2:20" x14ac:dyDescent="0.2">
      <c r="B18" s="45"/>
      <c r="H18" s="39"/>
      <c r="I18" s="40"/>
      <c r="N18" s="22" t="s">
        <v>131</v>
      </c>
      <c r="O18" s="36">
        <f>SUM(Fatturazioni!D12:D23)</f>
        <v>27900</v>
      </c>
      <c r="P18" s="36">
        <f>SUM(Fatturazioni!I12:I23)</f>
        <v>11200</v>
      </c>
      <c r="Q18" s="36">
        <f>SUM(Fatturazioni!N12:N23)</f>
        <v>0</v>
      </c>
      <c r="R18" s="156">
        <v>0</v>
      </c>
      <c r="S18" s="36">
        <f t="shared" si="1"/>
        <v>39100</v>
      </c>
      <c r="T18" s="200"/>
    </row>
    <row r="19" spans="2:20" x14ac:dyDescent="0.2">
      <c r="B19" s="48">
        <v>45629</v>
      </c>
      <c r="C19" s="49" t="s">
        <v>152</v>
      </c>
      <c r="D19" s="50" t="s">
        <v>148</v>
      </c>
      <c r="E19" s="103" t="s">
        <v>151</v>
      </c>
      <c r="F19" s="50" t="s">
        <v>118</v>
      </c>
      <c r="G19" s="52">
        <v>45628</v>
      </c>
      <c r="H19" s="52">
        <v>45992</v>
      </c>
      <c r="I19" s="53">
        <v>40000</v>
      </c>
      <c r="J19" s="56" t="s">
        <v>128</v>
      </c>
      <c r="K19" s="56" t="s">
        <v>128</v>
      </c>
      <c r="L19" s="114" t="s">
        <v>120</v>
      </c>
      <c r="N19" s="21" t="s">
        <v>132</v>
      </c>
      <c r="O19" s="35">
        <f>SUM(Fatturazioni!D24:D35)</f>
        <v>26100</v>
      </c>
      <c r="P19" s="35">
        <f>SUM(Fatturazioni!I24:I35)</f>
        <v>18000</v>
      </c>
      <c r="Q19" s="35">
        <f>SUM(Fatturazioni!N24:N35)</f>
        <v>3333.37</v>
      </c>
      <c r="R19" s="155">
        <v>0</v>
      </c>
      <c r="S19" s="35">
        <f t="shared" si="1"/>
        <v>47433.37</v>
      </c>
      <c r="T19" s="200"/>
    </row>
    <row r="20" spans="2:20" x14ac:dyDescent="0.2">
      <c r="N20" s="22" t="s">
        <v>136</v>
      </c>
      <c r="O20" s="36">
        <f>SUM(Fatturazioni!D36:D46)</f>
        <v>0</v>
      </c>
      <c r="P20" s="36">
        <f>SUM(Fatturazioni!I36:I47)</f>
        <v>0</v>
      </c>
      <c r="Q20" s="36">
        <f>SUM(Fatturazioni!N36:N47)</f>
        <v>39999.97</v>
      </c>
      <c r="R20" s="156">
        <v>0</v>
      </c>
      <c r="S20" s="36">
        <f t="shared" si="1"/>
        <v>39999.97</v>
      </c>
      <c r="T20" s="200"/>
    </row>
    <row r="21" spans="2:20" x14ac:dyDescent="0.2">
      <c r="B21" s="48">
        <v>45629</v>
      </c>
      <c r="C21" s="49" t="s">
        <v>153</v>
      </c>
      <c r="D21" s="50" t="s">
        <v>154</v>
      </c>
      <c r="E21" s="103" t="s">
        <v>149</v>
      </c>
      <c r="F21" s="50" t="s">
        <v>118</v>
      </c>
      <c r="G21" s="52">
        <v>46062</v>
      </c>
      <c r="H21" s="52">
        <v>46265</v>
      </c>
      <c r="I21" s="53">
        <v>29100</v>
      </c>
      <c r="J21" s="56" t="s">
        <v>155</v>
      </c>
      <c r="K21" s="153">
        <v>300</v>
      </c>
      <c r="L21" s="161" t="s">
        <v>156</v>
      </c>
      <c r="N21" s="21" t="s">
        <v>137</v>
      </c>
      <c r="O21" s="35">
        <v>0</v>
      </c>
      <c r="P21" s="35">
        <v>0</v>
      </c>
      <c r="Q21" s="35">
        <f>SUM(Fatturazioni!N48:N59)</f>
        <v>40000.080000000002</v>
      </c>
      <c r="R21" s="155">
        <v>0</v>
      </c>
      <c r="S21" s="35">
        <f t="shared" si="1"/>
        <v>40000.080000000002</v>
      </c>
      <c r="T21" s="200"/>
    </row>
    <row r="22" spans="2:20" x14ac:dyDescent="0.2">
      <c r="N22" s="22" t="s">
        <v>139</v>
      </c>
      <c r="O22" s="36">
        <v>0</v>
      </c>
      <c r="P22" s="36">
        <v>0</v>
      </c>
      <c r="Q22" s="36">
        <f>SUM(Fatturazioni!N60:N71)</f>
        <v>36666.58</v>
      </c>
      <c r="R22" s="36">
        <v>0</v>
      </c>
      <c r="S22" s="36">
        <f t="shared" si="1"/>
        <v>36666.58</v>
      </c>
      <c r="T22" s="200"/>
    </row>
    <row r="23" spans="2:20" x14ac:dyDescent="0.2">
      <c r="N23" s="21" t="s">
        <v>140</v>
      </c>
      <c r="O23" s="35">
        <v>0</v>
      </c>
      <c r="P23" s="35">
        <v>0</v>
      </c>
      <c r="Q23" s="35">
        <v>0</v>
      </c>
      <c r="R23" s="155">
        <f>SUM(Fatturazioni!U73:U79)</f>
        <v>0</v>
      </c>
      <c r="S23" s="35">
        <f t="shared" si="1"/>
        <v>0</v>
      </c>
      <c r="T23" s="201"/>
    </row>
    <row r="24" spans="2:20" x14ac:dyDescent="0.2">
      <c r="N24" s="9"/>
      <c r="O24" s="9"/>
      <c r="P24" s="9"/>
      <c r="Q24" s="9"/>
      <c r="R24" s="9"/>
      <c r="S24" s="9"/>
      <c r="T24" s="9"/>
    </row>
    <row r="25" spans="2:20" x14ac:dyDescent="0.2">
      <c r="N25" s="159" t="s">
        <v>143</v>
      </c>
      <c r="O25" s="159">
        <f>SUM(O17:O23)</f>
        <v>64080</v>
      </c>
      <c r="P25" s="159">
        <f>SUM(P17:P23)</f>
        <v>29200</v>
      </c>
      <c r="Q25" s="159">
        <f>SUM(Q17:Q23)</f>
        <v>120000.00000000001</v>
      </c>
      <c r="R25" s="159">
        <f>SUM(R17:R23)</f>
        <v>0</v>
      </c>
      <c r="S25" s="160" t="s">
        <v>157</v>
      </c>
      <c r="T25" s="159">
        <f>T17-T4</f>
        <v>-29100</v>
      </c>
    </row>
  </sheetData>
  <mergeCells count="4">
    <mergeCell ref="T4:T10"/>
    <mergeCell ref="T17:T23"/>
    <mergeCell ref="N1:T1"/>
    <mergeCell ref="N14:T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Q44"/>
  <sheetViews>
    <sheetView topLeftCell="R1" workbookViewId="0">
      <selection activeCell="AH23" sqref="AH23"/>
    </sheetView>
  </sheetViews>
  <sheetFormatPr baseColWidth="10" defaultColWidth="11.5" defaultRowHeight="15" x14ac:dyDescent="0.2"/>
  <cols>
    <col min="1" max="1" width="2.6640625" customWidth="1"/>
    <col min="2" max="2" width="0.6640625" customWidth="1"/>
    <col min="3" max="3" width="16.5" bestFit="1" customWidth="1"/>
    <col min="5" max="5" width="12.1640625" customWidth="1"/>
    <col min="7" max="7" width="2.6640625" customWidth="1"/>
    <col min="8" max="8" width="0.6640625" customWidth="1"/>
    <col min="9" max="9" width="2.6640625" customWidth="1"/>
    <col min="10" max="10" width="16.5" bestFit="1" customWidth="1"/>
    <col min="12" max="12" width="12.1640625" customWidth="1"/>
    <col min="14" max="14" width="2.6640625" customWidth="1"/>
    <col min="15" max="15" width="0.6640625" customWidth="1"/>
    <col min="16" max="16" width="2.6640625" customWidth="1"/>
    <col min="17" max="17" width="16.5" bestFit="1" customWidth="1"/>
    <col min="19" max="19" width="12.1640625" customWidth="1"/>
    <col min="21" max="21" width="2.6640625" customWidth="1"/>
    <col min="22" max="22" width="0.6640625" customWidth="1"/>
    <col min="23" max="23" width="2.6640625" customWidth="1"/>
    <col min="24" max="24" width="16.5" bestFit="1" customWidth="1"/>
    <col min="28" max="28" width="2.6640625" customWidth="1"/>
    <col min="29" max="29" width="0.6640625" customWidth="1"/>
    <col min="30" max="30" width="2.6640625" customWidth="1"/>
    <col min="31" max="31" width="16.5" bestFit="1" customWidth="1"/>
    <col min="35" max="35" width="2.6640625" customWidth="1"/>
    <col min="36" max="36" width="0.6640625" customWidth="1"/>
    <col min="37" max="37" width="2.6640625" customWidth="1"/>
    <col min="38" max="38" width="16.5" bestFit="1" customWidth="1"/>
    <col min="42" max="42" width="2.6640625" customWidth="1"/>
    <col min="43" max="43" width="0.6640625" customWidth="1"/>
  </cols>
  <sheetData>
    <row r="2" spans="2:43" ht="3.75" customHeight="1" x14ac:dyDescent="0.2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</row>
    <row r="3" spans="2:43" x14ac:dyDescent="0.2">
      <c r="B3" s="99"/>
      <c r="C3" s="205" t="s">
        <v>158</v>
      </c>
      <c r="D3" s="178"/>
      <c r="E3" s="178"/>
      <c r="F3" s="178"/>
      <c r="H3" s="99"/>
      <c r="J3" s="205" t="s">
        <v>159</v>
      </c>
      <c r="K3" s="178"/>
      <c r="L3" s="178"/>
      <c r="M3" s="178"/>
      <c r="O3" s="99"/>
      <c r="Q3" s="205" t="s">
        <v>160</v>
      </c>
      <c r="R3" s="178"/>
      <c r="S3" s="178"/>
      <c r="T3" s="178"/>
      <c r="V3" s="99"/>
      <c r="X3" s="205" t="s">
        <v>161</v>
      </c>
      <c r="Y3" s="178"/>
      <c r="Z3" s="178"/>
      <c r="AA3" s="178"/>
      <c r="AC3" s="99"/>
      <c r="AE3" s="205" t="s">
        <v>162</v>
      </c>
      <c r="AF3" s="178"/>
      <c r="AG3" s="178"/>
      <c r="AH3" s="178"/>
      <c r="AJ3" s="99"/>
      <c r="AL3" s="205" t="s">
        <v>163</v>
      </c>
      <c r="AM3" s="178"/>
      <c r="AN3" s="178"/>
      <c r="AO3" s="178"/>
      <c r="AQ3" s="99"/>
    </row>
    <row r="4" spans="2:43" x14ac:dyDescent="0.2">
      <c r="B4" s="99"/>
      <c r="H4" s="99"/>
      <c r="O4" s="99"/>
      <c r="V4" s="99"/>
      <c r="AC4" s="99"/>
      <c r="AJ4" s="99"/>
      <c r="AQ4" s="99"/>
    </row>
    <row r="5" spans="2:43" x14ac:dyDescent="0.2">
      <c r="B5" s="99"/>
      <c r="C5" s="44" t="s">
        <v>164</v>
      </c>
      <c r="D5" s="97" t="s">
        <v>110</v>
      </c>
      <c r="E5" t="s">
        <v>165</v>
      </c>
      <c r="F5" t="s">
        <v>166</v>
      </c>
      <c r="H5" s="99"/>
      <c r="J5" s="44" t="s">
        <v>167</v>
      </c>
      <c r="K5" s="97" t="s">
        <v>110</v>
      </c>
      <c r="L5" t="s">
        <v>165</v>
      </c>
      <c r="M5" t="s">
        <v>166</v>
      </c>
      <c r="O5" s="99"/>
      <c r="Q5" s="44" t="s">
        <v>168</v>
      </c>
      <c r="R5" s="97" t="s">
        <v>110</v>
      </c>
      <c r="S5" t="s">
        <v>165</v>
      </c>
      <c r="T5" t="s">
        <v>166</v>
      </c>
      <c r="V5" s="99"/>
      <c r="X5" s="44" t="s">
        <v>169</v>
      </c>
      <c r="Y5" s="97" t="s">
        <v>110</v>
      </c>
      <c r="Z5" t="s">
        <v>165</v>
      </c>
      <c r="AA5" t="s">
        <v>166</v>
      </c>
      <c r="AC5" s="99"/>
      <c r="AE5" s="44" t="s">
        <v>170</v>
      </c>
      <c r="AF5" s="97" t="s">
        <v>110</v>
      </c>
      <c r="AG5" t="s">
        <v>165</v>
      </c>
      <c r="AH5" t="s">
        <v>166</v>
      </c>
      <c r="AJ5" s="99"/>
      <c r="AL5" s="44" t="s">
        <v>171</v>
      </c>
      <c r="AM5" s="97" t="s">
        <v>110</v>
      </c>
      <c r="AN5" t="s">
        <v>165</v>
      </c>
      <c r="AO5" t="s">
        <v>166</v>
      </c>
      <c r="AQ5" s="99"/>
    </row>
    <row r="6" spans="2:43" x14ac:dyDescent="0.2">
      <c r="B6" s="99"/>
      <c r="D6" s="97"/>
      <c r="H6" s="99"/>
      <c r="K6" s="97"/>
      <c r="O6" s="99"/>
      <c r="R6" s="97"/>
      <c r="V6" s="99"/>
      <c r="Y6" s="97"/>
      <c r="AC6" s="99"/>
      <c r="AF6" s="97"/>
      <c r="AJ6" s="99"/>
      <c r="AM6" s="97"/>
      <c r="AQ6" s="99"/>
    </row>
    <row r="7" spans="2:43" x14ac:dyDescent="0.2">
      <c r="B7" s="99"/>
      <c r="C7" t="s">
        <v>172</v>
      </c>
      <c r="D7" s="97">
        <v>288</v>
      </c>
      <c r="E7" s="46">
        <v>44398</v>
      </c>
      <c r="F7" s="97">
        <v>0</v>
      </c>
      <c r="H7" s="99"/>
      <c r="J7" t="s">
        <v>173</v>
      </c>
      <c r="K7" s="97">
        <v>1158.6199999999999</v>
      </c>
      <c r="L7" s="46">
        <v>44794</v>
      </c>
      <c r="M7" s="97">
        <v>0</v>
      </c>
      <c r="O7" s="99"/>
      <c r="Q7" t="s">
        <v>174</v>
      </c>
      <c r="R7" s="97">
        <v>441.76</v>
      </c>
      <c r="S7" s="46">
        <v>45131</v>
      </c>
      <c r="T7" s="97">
        <v>0</v>
      </c>
      <c r="V7" s="99"/>
      <c r="X7" t="s">
        <v>175</v>
      </c>
      <c r="Y7" s="97">
        <v>-838</v>
      </c>
      <c r="Z7" s="46">
        <v>45492</v>
      </c>
      <c r="AA7" s="97">
        <v>0</v>
      </c>
      <c r="AC7" s="99"/>
      <c r="AE7" t="s">
        <v>176</v>
      </c>
      <c r="AF7" s="97">
        <v>147</v>
      </c>
      <c r="AG7" s="46">
        <v>45845</v>
      </c>
      <c r="AH7" s="97">
        <v>0</v>
      </c>
      <c r="AJ7" s="99"/>
      <c r="AL7" t="s">
        <v>177</v>
      </c>
      <c r="AM7" s="97"/>
      <c r="AN7" s="46"/>
      <c r="AO7" s="97"/>
      <c r="AQ7" s="99"/>
    </row>
    <row r="8" spans="2:43" x14ac:dyDescent="0.2">
      <c r="B8" s="99"/>
      <c r="C8" t="s">
        <v>178</v>
      </c>
      <c r="D8" s="97">
        <v>144</v>
      </c>
      <c r="E8" s="46">
        <v>44398</v>
      </c>
      <c r="F8" s="97">
        <v>0</v>
      </c>
      <c r="H8" s="99"/>
      <c r="J8" t="s">
        <v>179</v>
      </c>
      <c r="K8" s="97">
        <v>723.88</v>
      </c>
      <c r="L8" s="46">
        <v>44794</v>
      </c>
      <c r="M8" s="97">
        <v>0</v>
      </c>
      <c r="O8" s="99"/>
      <c r="Q8" t="s">
        <v>180</v>
      </c>
      <c r="R8" s="97">
        <v>944.76</v>
      </c>
      <c r="S8" s="46">
        <v>45131</v>
      </c>
      <c r="T8" s="97">
        <v>0</v>
      </c>
      <c r="V8" s="99"/>
      <c r="X8" t="s">
        <v>181</v>
      </c>
      <c r="Y8" s="97">
        <v>522</v>
      </c>
      <c r="Z8" s="46">
        <v>45492</v>
      </c>
      <c r="AA8" s="97">
        <v>0</v>
      </c>
      <c r="AC8" s="99"/>
      <c r="AE8" t="s">
        <v>182</v>
      </c>
      <c r="AF8" s="97">
        <v>595.5</v>
      </c>
      <c r="AG8" s="46">
        <v>45845</v>
      </c>
      <c r="AH8" s="97">
        <v>0</v>
      </c>
      <c r="AJ8" s="99"/>
      <c r="AL8" t="s">
        <v>183</v>
      </c>
      <c r="AM8" s="97"/>
      <c r="AN8" s="46"/>
      <c r="AO8" s="97"/>
      <c r="AQ8" s="99"/>
    </row>
    <row r="9" spans="2:43" x14ac:dyDescent="0.2">
      <c r="B9" s="99"/>
      <c r="C9" t="s">
        <v>184</v>
      </c>
      <c r="D9" s="97">
        <v>144</v>
      </c>
      <c r="E9" s="46">
        <v>44530</v>
      </c>
      <c r="F9" s="97">
        <v>0</v>
      </c>
      <c r="H9" s="99"/>
      <c r="J9" t="s">
        <v>185</v>
      </c>
      <c r="K9" s="97">
        <v>721</v>
      </c>
      <c r="L9" s="46">
        <v>44890</v>
      </c>
      <c r="M9" s="97">
        <v>0</v>
      </c>
      <c r="O9" s="99"/>
      <c r="Q9" t="s">
        <v>186</v>
      </c>
      <c r="R9" s="97">
        <v>941</v>
      </c>
      <c r="S9" s="46">
        <v>45257</v>
      </c>
      <c r="T9" s="97">
        <v>0</v>
      </c>
      <c r="V9" s="99"/>
      <c r="X9" t="s">
        <v>187</v>
      </c>
      <c r="Y9" s="97">
        <v>522</v>
      </c>
      <c r="Z9" s="46">
        <v>45629</v>
      </c>
      <c r="AA9" s="97">
        <v>0</v>
      </c>
      <c r="AC9" s="99"/>
      <c r="AE9" t="s">
        <v>188</v>
      </c>
      <c r="AF9" s="97">
        <v>595.5</v>
      </c>
      <c r="AG9" s="46">
        <v>45988</v>
      </c>
      <c r="AH9" s="97">
        <v>0</v>
      </c>
      <c r="AJ9" s="99"/>
      <c r="AL9" t="s">
        <v>189</v>
      </c>
      <c r="AM9" s="97"/>
      <c r="AN9" s="46"/>
      <c r="AO9" s="97"/>
      <c r="AQ9" s="99"/>
    </row>
    <row r="10" spans="2:43" x14ac:dyDescent="0.2">
      <c r="B10" s="99"/>
      <c r="D10" s="97"/>
      <c r="E10" s="46"/>
      <c r="H10" s="99"/>
      <c r="K10" s="97"/>
      <c r="L10" s="46"/>
      <c r="M10" s="97"/>
      <c r="O10" s="99"/>
      <c r="R10" s="97"/>
      <c r="S10" s="46"/>
      <c r="T10" s="97"/>
      <c r="V10" s="99"/>
      <c r="Y10" s="97"/>
      <c r="Z10" s="46"/>
      <c r="AA10" s="97"/>
      <c r="AC10" s="99"/>
      <c r="AF10" s="97"/>
      <c r="AG10" s="46"/>
      <c r="AH10" s="97"/>
      <c r="AJ10" s="99"/>
      <c r="AM10" s="97"/>
      <c r="AN10" s="46"/>
      <c r="AO10" s="97"/>
      <c r="AQ10" s="99"/>
    </row>
    <row r="11" spans="2:43" x14ac:dyDescent="0.2">
      <c r="B11" s="99"/>
      <c r="C11" s="44" t="s">
        <v>190</v>
      </c>
      <c r="D11" s="97" t="s">
        <v>110</v>
      </c>
      <c r="E11" t="s">
        <v>165</v>
      </c>
      <c r="F11" t="s">
        <v>166</v>
      </c>
      <c r="H11" s="99"/>
      <c r="J11" s="44" t="s">
        <v>191</v>
      </c>
      <c r="K11" s="97" t="s">
        <v>110</v>
      </c>
      <c r="L11" t="s">
        <v>165</v>
      </c>
      <c r="M11" t="s">
        <v>166</v>
      </c>
      <c r="O11" s="99"/>
      <c r="Q11" s="44" t="s">
        <v>192</v>
      </c>
      <c r="R11" s="97" t="s">
        <v>110</v>
      </c>
      <c r="S11" t="s">
        <v>165</v>
      </c>
      <c r="T11" t="s">
        <v>166</v>
      </c>
      <c r="V11" s="99"/>
      <c r="X11" s="44" t="s">
        <v>193</v>
      </c>
      <c r="Y11" s="97" t="s">
        <v>110</v>
      </c>
      <c r="Z11" t="s">
        <v>165</v>
      </c>
      <c r="AA11" t="s">
        <v>166</v>
      </c>
      <c r="AC11" s="99"/>
      <c r="AE11" s="44" t="s">
        <v>194</v>
      </c>
      <c r="AF11" s="97" t="s">
        <v>110</v>
      </c>
      <c r="AG11" t="s">
        <v>165</v>
      </c>
      <c r="AH11" t="s">
        <v>166</v>
      </c>
      <c r="AJ11" s="99"/>
      <c r="AL11" s="44" t="s">
        <v>195</v>
      </c>
      <c r="AM11" s="97" t="s">
        <v>110</v>
      </c>
      <c r="AN11" t="s">
        <v>165</v>
      </c>
      <c r="AO11" t="s">
        <v>166</v>
      </c>
      <c r="AQ11" s="99"/>
    </row>
    <row r="12" spans="2:43" x14ac:dyDescent="0.2">
      <c r="B12" s="99"/>
      <c r="D12" s="97"/>
      <c r="E12" s="46"/>
      <c r="H12" s="99"/>
      <c r="K12" s="97"/>
      <c r="L12" s="46"/>
      <c r="M12" s="97"/>
      <c r="O12" s="99"/>
      <c r="R12" s="97"/>
      <c r="S12" s="46"/>
      <c r="T12" s="97"/>
      <c r="V12" s="99"/>
      <c r="Y12" s="97"/>
      <c r="Z12" s="46"/>
      <c r="AA12" s="97"/>
      <c r="AC12" s="99"/>
      <c r="AF12" s="97"/>
      <c r="AG12" s="46"/>
      <c r="AH12" s="97"/>
      <c r="AJ12" s="99"/>
      <c r="AM12" s="97"/>
      <c r="AN12" s="46"/>
      <c r="AO12" s="97"/>
      <c r="AQ12" s="99"/>
    </row>
    <row r="13" spans="2:43" x14ac:dyDescent="0.2">
      <c r="B13" s="99"/>
      <c r="C13" t="s">
        <v>172</v>
      </c>
      <c r="D13" s="97">
        <v>1480</v>
      </c>
      <c r="E13" s="46">
        <v>44398</v>
      </c>
      <c r="F13" s="97">
        <v>0</v>
      </c>
      <c r="H13" s="99"/>
      <c r="J13" t="s">
        <v>173</v>
      </c>
      <c r="K13" s="97">
        <v>6451</v>
      </c>
      <c r="L13" s="46">
        <v>44794</v>
      </c>
      <c r="M13" s="97">
        <v>25.8</v>
      </c>
      <c r="O13" s="99"/>
      <c r="Q13" t="s">
        <v>174</v>
      </c>
      <c r="R13" s="97">
        <v>3698</v>
      </c>
      <c r="S13" s="46">
        <v>45131</v>
      </c>
      <c r="T13" s="97">
        <v>14.79</v>
      </c>
      <c r="V13" s="99"/>
      <c r="X13" t="s">
        <v>175</v>
      </c>
      <c r="Y13" s="97">
        <v>621</v>
      </c>
      <c r="Z13" s="46">
        <v>45492</v>
      </c>
      <c r="AA13" s="97">
        <v>0</v>
      </c>
      <c r="AC13" s="99"/>
      <c r="AE13" t="s">
        <v>176</v>
      </c>
      <c r="AF13" s="97">
        <v>1364</v>
      </c>
      <c r="AG13" s="46">
        <v>45845</v>
      </c>
      <c r="AH13" s="97">
        <v>0</v>
      </c>
      <c r="AJ13" s="99"/>
      <c r="AL13" t="s">
        <v>177</v>
      </c>
      <c r="AM13" s="97"/>
      <c r="AN13" s="46"/>
      <c r="AO13" s="97"/>
      <c r="AQ13" s="99"/>
    </row>
    <row r="14" spans="2:43" x14ac:dyDescent="0.2">
      <c r="B14" s="99"/>
      <c r="C14" t="s">
        <v>178</v>
      </c>
      <c r="D14" s="97">
        <v>598</v>
      </c>
      <c r="E14" s="46">
        <v>44398</v>
      </c>
      <c r="F14" s="97">
        <v>0</v>
      </c>
      <c r="H14" s="99"/>
      <c r="J14" t="s">
        <v>179</v>
      </c>
      <c r="K14" s="97">
        <v>3088.4</v>
      </c>
      <c r="L14" s="46">
        <v>44794</v>
      </c>
      <c r="M14" s="97">
        <v>12.35</v>
      </c>
      <c r="O14" s="99"/>
      <c r="Q14" t="s">
        <v>180</v>
      </c>
      <c r="R14" s="97">
        <v>3950</v>
      </c>
      <c r="S14" s="46">
        <v>45131</v>
      </c>
      <c r="T14" s="97">
        <v>15.8</v>
      </c>
      <c r="V14" s="99"/>
      <c r="X14" t="s">
        <v>181</v>
      </c>
      <c r="Y14" s="97">
        <v>3387.6</v>
      </c>
      <c r="Z14" s="46">
        <v>45492</v>
      </c>
      <c r="AA14" s="97">
        <v>0</v>
      </c>
      <c r="AC14" s="99"/>
      <c r="AE14" t="s">
        <v>182</v>
      </c>
      <c r="AF14" s="97">
        <v>3255.6</v>
      </c>
      <c r="AG14" s="46">
        <v>45845</v>
      </c>
      <c r="AH14" s="97">
        <v>0</v>
      </c>
      <c r="AJ14" s="99"/>
      <c r="AL14" t="s">
        <v>183</v>
      </c>
      <c r="AM14" s="97"/>
      <c r="AN14" s="46"/>
      <c r="AO14" s="97"/>
      <c r="AQ14" s="99"/>
    </row>
    <row r="15" spans="2:43" x14ac:dyDescent="0.2">
      <c r="B15" s="99"/>
      <c r="C15" t="s">
        <v>184</v>
      </c>
      <c r="D15" s="97">
        <v>598</v>
      </c>
      <c r="E15" s="46">
        <v>44530</v>
      </c>
      <c r="F15" s="97">
        <v>0</v>
      </c>
      <c r="H15" s="99"/>
      <c r="J15" t="s">
        <v>185</v>
      </c>
      <c r="K15" s="97">
        <v>3088.4</v>
      </c>
      <c r="L15" s="46">
        <v>44890</v>
      </c>
      <c r="M15" s="97">
        <v>0</v>
      </c>
      <c r="O15" s="99"/>
      <c r="Q15" t="s">
        <v>186</v>
      </c>
      <c r="R15" s="97">
        <v>3950</v>
      </c>
      <c r="S15" s="46">
        <v>45257</v>
      </c>
      <c r="T15" s="97">
        <v>0</v>
      </c>
      <c r="V15" s="99"/>
      <c r="X15" t="s">
        <v>187</v>
      </c>
      <c r="Y15" s="97">
        <v>3387.6</v>
      </c>
      <c r="Z15" s="46">
        <v>45629</v>
      </c>
      <c r="AA15" s="97">
        <v>0</v>
      </c>
      <c r="AC15" s="99"/>
      <c r="AE15" t="s">
        <v>188</v>
      </c>
      <c r="AF15" s="97">
        <v>3255.6</v>
      </c>
      <c r="AG15" s="46">
        <v>45988</v>
      </c>
      <c r="AH15" s="97">
        <v>0</v>
      </c>
      <c r="AJ15" s="99"/>
      <c r="AL15" t="s">
        <v>189</v>
      </c>
      <c r="AM15" s="97"/>
      <c r="AN15" s="46"/>
      <c r="AO15" s="97"/>
      <c r="AQ15" s="99"/>
    </row>
    <row r="16" spans="2:43" x14ac:dyDescent="0.2">
      <c r="B16" s="99"/>
      <c r="D16" s="97"/>
      <c r="E16" s="46"/>
      <c r="H16" s="99"/>
      <c r="K16" s="97"/>
      <c r="L16" s="46"/>
      <c r="M16" s="97"/>
      <c r="O16" s="99"/>
      <c r="R16" s="97"/>
      <c r="S16" s="46"/>
      <c r="T16" s="97"/>
      <c r="V16" s="99"/>
      <c r="Y16" s="97"/>
      <c r="Z16" s="46"/>
      <c r="AA16" s="97"/>
      <c r="AC16" s="99"/>
      <c r="AF16" s="97"/>
      <c r="AG16" s="46"/>
      <c r="AH16" s="97"/>
      <c r="AJ16" s="99"/>
      <c r="AM16" s="97"/>
      <c r="AN16" s="46"/>
      <c r="AO16" s="97"/>
      <c r="AQ16" s="99"/>
    </row>
    <row r="17" spans="2:43" x14ac:dyDescent="0.2">
      <c r="B17" s="99"/>
      <c r="C17" s="44" t="s">
        <v>196</v>
      </c>
      <c r="D17" s="97" t="s">
        <v>110</v>
      </c>
      <c r="E17" t="s">
        <v>165</v>
      </c>
      <c r="F17" t="s">
        <v>166</v>
      </c>
      <c r="H17" s="99"/>
      <c r="J17" s="44" t="s">
        <v>197</v>
      </c>
      <c r="K17" s="97" t="s">
        <v>110</v>
      </c>
      <c r="L17" t="s">
        <v>165</v>
      </c>
      <c r="M17" t="s">
        <v>166</v>
      </c>
      <c r="O17" s="99"/>
      <c r="Q17" s="44" t="s">
        <v>198</v>
      </c>
      <c r="R17" s="97" t="s">
        <v>110</v>
      </c>
      <c r="S17" t="s">
        <v>165</v>
      </c>
      <c r="T17" t="s">
        <v>166</v>
      </c>
      <c r="V17" s="99"/>
      <c r="X17" s="44" t="s">
        <v>199</v>
      </c>
      <c r="Y17" s="97" t="s">
        <v>110</v>
      </c>
      <c r="Z17" t="s">
        <v>165</v>
      </c>
      <c r="AA17" t="s">
        <v>166</v>
      </c>
      <c r="AC17" s="99"/>
      <c r="AE17" s="44" t="s">
        <v>199</v>
      </c>
      <c r="AF17" s="97" t="s">
        <v>110</v>
      </c>
      <c r="AG17" t="s">
        <v>165</v>
      </c>
      <c r="AH17" t="s">
        <v>166</v>
      </c>
      <c r="AJ17" s="99"/>
      <c r="AL17" s="44" t="s">
        <v>200</v>
      </c>
      <c r="AM17" s="97" t="s">
        <v>110</v>
      </c>
      <c r="AN17" t="s">
        <v>165</v>
      </c>
      <c r="AO17" t="s">
        <v>166</v>
      </c>
      <c r="AQ17" s="99"/>
    </row>
    <row r="18" spans="2:43" x14ac:dyDescent="0.2">
      <c r="B18" s="99"/>
      <c r="D18" s="97"/>
      <c r="E18" s="46"/>
      <c r="H18" s="99"/>
      <c r="K18" s="97"/>
      <c r="L18" s="46"/>
      <c r="M18" s="97"/>
      <c r="O18" s="99"/>
      <c r="R18" s="97"/>
      <c r="S18" s="46"/>
      <c r="T18" s="97"/>
      <c r="V18" s="99"/>
      <c r="Y18" s="97"/>
      <c r="Z18" s="46"/>
      <c r="AA18" s="97"/>
      <c r="AC18" s="99"/>
      <c r="AF18" s="97"/>
      <c r="AG18" s="46"/>
      <c r="AH18" s="97"/>
      <c r="AJ18" s="99"/>
      <c r="AM18" s="97"/>
      <c r="AN18" s="46"/>
      <c r="AO18" s="97"/>
      <c r="AQ18" s="99"/>
    </row>
    <row r="19" spans="2:43" x14ac:dyDescent="0.2">
      <c r="B19" s="99"/>
      <c r="C19" t="s">
        <v>201</v>
      </c>
      <c r="D19" s="97">
        <v>6</v>
      </c>
      <c r="E19" s="46">
        <v>44530</v>
      </c>
      <c r="F19" s="97">
        <v>0</v>
      </c>
      <c r="H19" s="99"/>
      <c r="J19" t="s">
        <v>202</v>
      </c>
      <c r="K19" s="97">
        <v>8</v>
      </c>
      <c r="L19" s="46">
        <v>44894</v>
      </c>
      <c r="M19" s="97">
        <v>0</v>
      </c>
      <c r="O19" s="99"/>
      <c r="Q19" t="s">
        <v>203</v>
      </c>
      <c r="R19" s="97">
        <v>6</v>
      </c>
      <c r="S19" s="46">
        <v>45257</v>
      </c>
      <c r="T19" s="97">
        <v>0</v>
      </c>
      <c r="V19" s="99"/>
      <c r="X19" t="s">
        <v>204</v>
      </c>
      <c r="Y19" s="97">
        <v>6</v>
      </c>
      <c r="Z19" s="46">
        <v>45622</v>
      </c>
      <c r="AA19" s="97">
        <v>0</v>
      </c>
      <c r="AC19" s="99"/>
      <c r="AE19" t="s">
        <v>205</v>
      </c>
      <c r="AF19" s="97">
        <v>6</v>
      </c>
      <c r="AG19" s="46">
        <v>45988</v>
      </c>
      <c r="AH19" s="97">
        <v>0</v>
      </c>
      <c r="AJ19" s="99"/>
      <c r="AL19" t="s">
        <v>206</v>
      </c>
      <c r="AM19" s="97"/>
      <c r="AN19" s="46"/>
      <c r="AO19" s="97"/>
      <c r="AQ19" s="99"/>
    </row>
    <row r="20" spans="2:43" x14ac:dyDescent="0.2">
      <c r="B20" s="99"/>
      <c r="C20" t="s">
        <v>207</v>
      </c>
      <c r="D20" s="97">
        <v>8</v>
      </c>
      <c r="E20" s="46">
        <v>44530</v>
      </c>
      <c r="F20" s="97">
        <v>0</v>
      </c>
      <c r="H20" s="99"/>
      <c r="J20" t="s">
        <v>208</v>
      </c>
      <c r="K20" s="97">
        <v>16</v>
      </c>
      <c r="L20" s="46">
        <v>44894</v>
      </c>
      <c r="M20" s="97">
        <v>0</v>
      </c>
      <c r="O20" s="99"/>
      <c r="Q20" t="s">
        <v>209</v>
      </c>
      <c r="R20" s="97">
        <v>6</v>
      </c>
      <c r="S20" s="46">
        <v>45257</v>
      </c>
      <c r="T20" s="97">
        <v>0</v>
      </c>
      <c r="V20" s="99"/>
      <c r="X20" t="s">
        <v>210</v>
      </c>
      <c r="Y20" s="97">
        <v>6</v>
      </c>
      <c r="Z20" s="46">
        <v>45622</v>
      </c>
      <c r="AA20" s="97">
        <v>0</v>
      </c>
      <c r="AC20" s="99"/>
      <c r="AE20" t="s">
        <v>211</v>
      </c>
      <c r="AF20" s="97">
        <v>6</v>
      </c>
      <c r="AG20" s="46">
        <v>45988</v>
      </c>
      <c r="AH20" s="97">
        <v>0</v>
      </c>
      <c r="AJ20" s="99"/>
      <c r="AL20" t="s">
        <v>212</v>
      </c>
      <c r="AM20" s="97"/>
      <c r="AN20" s="46"/>
      <c r="AO20" s="97"/>
      <c r="AQ20" s="99"/>
    </row>
    <row r="21" spans="2:43" x14ac:dyDescent="0.2">
      <c r="B21" s="99"/>
      <c r="C21" t="s">
        <v>213</v>
      </c>
      <c r="D21" s="97">
        <v>14</v>
      </c>
      <c r="E21" s="46">
        <v>44530</v>
      </c>
      <c r="F21" s="97">
        <v>0</v>
      </c>
      <c r="H21" s="99"/>
      <c r="J21" t="s">
        <v>214</v>
      </c>
      <c r="K21" s="97">
        <v>12</v>
      </c>
      <c r="L21" s="46">
        <v>44894</v>
      </c>
      <c r="M21" s="97">
        <v>0</v>
      </c>
      <c r="O21" s="99"/>
      <c r="Q21" t="s">
        <v>215</v>
      </c>
      <c r="R21" s="97">
        <v>6</v>
      </c>
      <c r="S21" s="46">
        <v>45257</v>
      </c>
      <c r="T21" s="97">
        <v>0</v>
      </c>
      <c r="V21" s="99"/>
      <c r="X21" t="s">
        <v>216</v>
      </c>
      <c r="Y21" s="97">
        <v>6</v>
      </c>
      <c r="Z21" s="46">
        <v>45622</v>
      </c>
      <c r="AA21" s="97">
        <v>0</v>
      </c>
      <c r="AC21" s="99"/>
      <c r="AE21" t="s">
        <v>217</v>
      </c>
      <c r="AF21" s="97">
        <v>6</v>
      </c>
      <c r="AG21" s="46">
        <v>45988</v>
      </c>
      <c r="AH21" s="97">
        <v>0</v>
      </c>
      <c r="AJ21" s="99"/>
      <c r="AL21" t="s">
        <v>218</v>
      </c>
      <c r="AM21" s="97"/>
      <c r="AN21" s="46"/>
      <c r="AO21" s="97"/>
      <c r="AQ21" s="99"/>
    </row>
    <row r="22" spans="2:43" x14ac:dyDescent="0.2">
      <c r="B22" s="99"/>
      <c r="C22" t="s">
        <v>219</v>
      </c>
      <c r="D22" s="97">
        <v>14</v>
      </c>
      <c r="E22" s="46">
        <v>44620</v>
      </c>
      <c r="F22" s="97"/>
      <c r="H22" s="99"/>
      <c r="J22" t="s">
        <v>220</v>
      </c>
      <c r="K22" s="97">
        <v>10</v>
      </c>
      <c r="L22" s="46">
        <v>44984</v>
      </c>
      <c r="M22" s="97">
        <v>0</v>
      </c>
      <c r="O22" s="99"/>
      <c r="Q22" t="s">
        <v>221</v>
      </c>
      <c r="R22" s="97">
        <v>6</v>
      </c>
      <c r="S22" s="46">
        <v>45351</v>
      </c>
      <c r="T22" s="97">
        <v>0</v>
      </c>
      <c r="V22" s="99"/>
      <c r="X22" t="s">
        <v>222</v>
      </c>
      <c r="Y22" s="97">
        <v>6</v>
      </c>
      <c r="Z22" s="46">
        <v>45714</v>
      </c>
      <c r="AA22" s="97">
        <v>0</v>
      </c>
      <c r="AC22" s="99"/>
      <c r="AE22" t="s">
        <v>223</v>
      </c>
      <c r="AF22" s="97">
        <v>4</v>
      </c>
      <c r="AG22" s="46">
        <v>46083</v>
      </c>
      <c r="AH22" s="97">
        <v>0</v>
      </c>
      <c r="AJ22" s="99"/>
      <c r="AL22" t="s">
        <v>224</v>
      </c>
      <c r="AM22" s="97"/>
      <c r="AN22" s="46"/>
      <c r="AO22" s="97"/>
      <c r="AQ22" s="99"/>
    </row>
    <row r="23" spans="2:43" x14ac:dyDescent="0.2">
      <c r="B23" s="99"/>
      <c r="H23" s="99"/>
      <c r="O23" s="99"/>
      <c r="V23" s="99"/>
      <c r="AC23" s="99"/>
      <c r="AJ23" s="99"/>
      <c r="AQ23" s="99"/>
    </row>
    <row r="24" spans="2:43" x14ac:dyDescent="0.2">
      <c r="B24" s="99"/>
      <c r="H24" s="99"/>
      <c r="O24" s="99"/>
      <c r="V24" s="99"/>
      <c r="AC24" s="99"/>
      <c r="AJ24" s="99"/>
      <c r="AQ24" s="99"/>
    </row>
    <row r="25" spans="2:43" x14ac:dyDescent="0.2">
      <c r="B25" s="99"/>
      <c r="C25" s="205" t="s">
        <v>225</v>
      </c>
      <c r="D25" s="178"/>
      <c r="E25" s="178"/>
      <c r="F25" s="178"/>
      <c r="H25" s="99"/>
      <c r="J25" s="205" t="s">
        <v>225</v>
      </c>
      <c r="K25" s="178"/>
      <c r="L25" s="178"/>
      <c r="M25" s="178"/>
      <c r="O25" s="99"/>
      <c r="Q25" s="205" t="s">
        <v>225</v>
      </c>
      <c r="R25" s="178"/>
      <c r="S25" s="178"/>
      <c r="T25" s="178"/>
      <c r="V25" s="99"/>
      <c r="X25" s="205" t="s">
        <v>225</v>
      </c>
      <c r="Y25" s="178"/>
      <c r="Z25" s="178"/>
      <c r="AA25" s="178"/>
      <c r="AC25" s="99"/>
      <c r="AE25" s="205" t="s">
        <v>225</v>
      </c>
      <c r="AF25" s="178"/>
      <c r="AG25" s="178"/>
      <c r="AH25" s="178"/>
      <c r="AJ25" s="99"/>
      <c r="AL25" s="205" t="s">
        <v>225</v>
      </c>
      <c r="AM25" s="178"/>
      <c r="AN25" s="178"/>
      <c r="AO25" s="178"/>
      <c r="AQ25" s="99"/>
    </row>
    <row r="26" spans="2:43" x14ac:dyDescent="0.2">
      <c r="B26" s="99"/>
      <c r="H26" s="99"/>
      <c r="O26" s="99"/>
      <c r="V26" s="99"/>
      <c r="AC26" s="99"/>
      <c r="AJ26" s="99"/>
      <c r="AQ26" s="99"/>
    </row>
    <row r="27" spans="2:43" x14ac:dyDescent="0.2">
      <c r="B27" s="99"/>
      <c r="C27" s="204" t="s">
        <v>226</v>
      </c>
      <c r="D27" s="178"/>
      <c r="E27" s="98">
        <f>D7</f>
        <v>288</v>
      </c>
      <c r="H27" s="99"/>
      <c r="J27" s="204" t="s">
        <v>227</v>
      </c>
      <c r="K27" s="178"/>
      <c r="L27" s="98">
        <f>K7</f>
        <v>1158.6199999999999</v>
      </c>
      <c r="O27" s="99"/>
      <c r="Q27" s="204" t="s">
        <v>228</v>
      </c>
      <c r="R27" s="178"/>
      <c r="S27" s="98">
        <f>R7</f>
        <v>441.76</v>
      </c>
      <c r="V27" s="99"/>
      <c r="X27" s="204" t="s">
        <v>229</v>
      </c>
      <c r="Y27" s="178"/>
      <c r="Z27" s="98">
        <f>Y7</f>
        <v>-838</v>
      </c>
      <c r="AC27" s="99"/>
      <c r="AE27" s="204" t="s">
        <v>230</v>
      </c>
      <c r="AF27" s="178"/>
      <c r="AG27" s="98">
        <f>AF7</f>
        <v>147</v>
      </c>
      <c r="AJ27" s="99"/>
      <c r="AL27" s="204" t="s">
        <v>231</v>
      </c>
      <c r="AM27" s="178"/>
      <c r="AN27" s="98">
        <f>AM7</f>
        <v>0</v>
      </c>
      <c r="AQ27" s="99"/>
    </row>
    <row r="28" spans="2:43" x14ac:dyDescent="0.2">
      <c r="B28" s="99"/>
      <c r="C28" s="204" t="s">
        <v>232</v>
      </c>
      <c r="D28" s="178"/>
      <c r="E28" s="98">
        <f>D8+D9</f>
        <v>288</v>
      </c>
      <c r="H28" s="99"/>
      <c r="J28" s="204" t="s">
        <v>233</v>
      </c>
      <c r="K28" s="178"/>
      <c r="L28" s="98">
        <f>K8+K9</f>
        <v>1444.88</v>
      </c>
      <c r="O28" s="99"/>
      <c r="Q28" s="204" t="s">
        <v>234</v>
      </c>
      <c r="R28" s="178"/>
      <c r="S28" s="98">
        <f>R8+R9</f>
        <v>1885.76</v>
      </c>
      <c r="V28" s="99"/>
      <c r="X28" s="204" t="s">
        <v>235</v>
      </c>
      <c r="Y28" s="178"/>
      <c r="Z28" s="98">
        <f>Y8+Y9</f>
        <v>1044</v>
      </c>
      <c r="AC28" s="99"/>
      <c r="AE28" s="204" t="s">
        <v>236</v>
      </c>
      <c r="AF28" s="178"/>
      <c r="AG28" s="98">
        <f>AF8+AF9</f>
        <v>1191</v>
      </c>
      <c r="AJ28" s="99"/>
      <c r="AL28" s="204" t="s">
        <v>237</v>
      </c>
      <c r="AM28" s="178"/>
      <c r="AN28" s="98">
        <f>AM8+AM9</f>
        <v>0</v>
      </c>
      <c r="AQ28" s="99"/>
    </row>
    <row r="29" spans="2:43" x14ac:dyDescent="0.2">
      <c r="B29" s="99"/>
      <c r="H29" s="99"/>
      <c r="O29" s="99"/>
      <c r="V29" s="99"/>
      <c r="AC29" s="99"/>
      <c r="AJ29" s="99"/>
      <c r="AQ29" s="99"/>
    </row>
    <row r="30" spans="2:43" x14ac:dyDescent="0.2">
      <c r="B30" s="99"/>
      <c r="C30" s="204" t="s">
        <v>238</v>
      </c>
      <c r="D30" s="178"/>
      <c r="E30" s="98">
        <f>D13</f>
        <v>1480</v>
      </c>
      <c r="H30" s="99"/>
      <c r="J30" s="204" t="s">
        <v>239</v>
      </c>
      <c r="K30" s="178"/>
      <c r="L30" s="98">
        <f>K13</f>
        <v>6451</v>
      </c>
      <c r="O30" s="99"/>
      <c r="Q30" s="204" t="s">
        <v>240</v>
      </c>
      <c r="R30" s="178"/>
      <c r="S30" s="98">
        <f>R13</f>
        <v>3698</v>
      </c>
      <c r="V30" s="99"/>
      <c r="X30" s="204" t="s">
        <v>241</v>
      </c>
      <c r="Y30" s="178"/>
      <c r="Z30" s="98">
        <f>Y13</f>
        <v>621</v>
      </c>
      <c r="AC30" s="99"/>
      <c r="AE30" s="204" t="s">
        <v>242</v>
      </c>
      <c r="AF30" s="178"/>
      <c r="AG30" s="98">
        <f>AF13</f>
        <v>1364</v>
      </c>
      <c r="AJ30" s="99"/>
      <c r="AL30" s="204" t="s">
        <v>243</v>
      </c>
      <c r="AM30" s="178"/>
      <c r="AN30" s="98">
        <f>AM13</f>
        <v>0</v>
      </c>
      <c r="AQ30" s="99"/>
    </row>
    <row r="31" spans="2:43" x14ac:dyDescent="0.2">
      <c r="B31" s="99"/>
      <c r="C31" s="204" t="s">
        <v>244</v>
      </c>
      <c r="D31" s="178"/>
      <c r="E31" s="98">
        <f>D14+D15</f>
        <v>1196</v>
      </c>
      <c r="H31" s="99"/>
      <c r="J31" s="204" t="s">
        <v>245</v>
      </c>
      <c r="K31" s="178"/>
      <c r="L31" s="98">
        <f>K14+K15</f>
        <v>6176.8</v>
      </c>
      <c r="O31" s="99"/>
      <c r="Q31" s="204" t="s">
        <v>246</v>
      </c>
      <c r="R31" s="178"/>
      <c r="S31" s="98">
        <f>R14+R15</f>
        <v>7900</v>
      </c>
      <c r="V31" s="99"/>
      <c r="X31" s="204" t="s">
        <v>247</v>
      </c>
      <c r="Y31" s="178"/>
      <c r="Z31" s="98">
        <f>Y14+Y15</f>
        <v>6775.2</v>
      </c>
      <c r="AC31" s="99"/>
      <c r="AE31" s="204" t="s">
        <v>248</v>
      </c>
      <c r="AF31" s="178"/>
      <c r="AG31" s="98">
        <f>AF14+AF15</f>
        <v>6511.2</v>
      </c>
      <c r="AJ31" s="99"/>
      <c r="AL31" s="204" t="s">
        <v>249</v>
      </c>
      <c r="AM31" s="178"/>
      <c r="AN31" s="98">
        <f>AM14+AM15</f>
        <v>0</v>
      </c>
      <c r="AQ31" s="99"/>
    </row>
    <row r="32" spans="2:43" x14ac:dyDescent="0.2">
      <c r="B32" s="99"/>
      <c r="H32" s="99"/>
      <c r="O32" s="99"/>
      <c r="V32" s="99"/>
      <c r="AC32" s="99"/>
      <c r="AJ32" s="99"/>
      <c r="AQ32" s="99"/>
    </row>
    <row r="33" spans="2:43" x14ac:dyDescent="0.2">
      <c r="B33" s="99"/>
      <c r="C33" s="204" t="s">
        <v>250</v>
      </c>
      <c r="D33" s="178"/>
      <c r="E33" s="98">
        <f>D19+D20+D21+D22</f>
        <v>42</v>
      </c>
      <c r="H33" s="99"/>
      <c r="J33" s="204" t="s">
        <v>251</v>
      </c>
      <c r="K33" s="178"/>
      <c r="L33" s="98">
        <f>K19+K20+K21+K22</f>
        <v>46</v>
      </c>
      <c r="O33" s="99"/>
      <c r="Q33" s="204" t="s">
        <v>252</v>
      </c>
      <c r="R33" s="178"/>
      <c r="S33" s="98">
        <f>R19+R20+R21+R22</f>
        <v>24</v>
      </c>
      <c r="V33" s="99"/>
      <c r="X33" s="204" t="s">
        <v>253</v>
      </c>
      <c r="Y33" s="178"/>
      <c r="Z33" s="98">
        <f>Y19+Y20+Y21+Y22</f>
        <v>24</v>
      </c>
      <c r="AC33" s="99"/>
      <c r="AE33" s="204" t="s">
        <v>254</v>
      </c>
      <c r="AF33" s="178"/>
      <c r="AG33" s="98">
        <f>AF19+AF20+AF21+AF22</f>
        <v>22</v>
      </c>
      <c r="AJ33" s="99"/>
      <c r="AL33" s="204" t="s">
        <v>255</v>
      </c>
      <c r="AM33" s="178"/>
      <c r="AN33" s="98">
        <f>AM19+AM20+AM21+AM22</f>
        <v>0</v>
      </c>
      <c r="AQ33" s="99"/>
    </row>
    <row r="34" spans="2:43" x14ac:dyDescent="0.2">
      <c r="B34" s="99"/>
      <c r="H34" s="99"/>
      <c r="O34" s="99"/>
      <c r="V34" s="99"/>
      <c r="AC34" s="99"/>
      <c r="AJ34" s="99"/>
      <c r="AQ34" s="99"/>
    </row>
    <row r="35" spans="2:43" x14ac:dyDescent="0.2">
      <c r="B35" s="99"/>
      <c r="H35" s="99"/>
      <c r="O35" s="99"/>
      <c r="V35" s="99"/>
      <c r="AC35" s="99"/>
      <c r="AJ35" s="99"/>
      <c r="AQ35" s="99"/>
    </row>
    <row r="36" spans="2:43" x14ac:dyDescent="0.2">
      <c r="B36" s="99"/>
      <c r="C36" s="205" t="s">
        <v>256</v>
      </c>
      <c r="D36" s="178"/>
      <c r="E36" s="178"/>
      <c r="F36" s="178"/>
      <c r="H36" s="99"/>
      <c r="J36" s="205" t="s">
        <v>257</v>
      </c>
      <c r="K36" s="178"/>
      <c r="L36" s="178"/>
      <c r="M36" s="178"/>
      <c r="O36" s="99"/>
      <c r="Q36" s="205" t="s">
        <v>258</v>
      </c>
      <c r="R36" s="178"/>
      <c r="S36" s="178"/>
      <c r="T36" s="178"/>
      <c r="V36" s="99"/>
      <c r="X36" s="205" t="s">
        <v>259</v>
      </c>
      <c r="Y36" s="178"/>
      <c r="Z36" s="178"/>
      <c r="AA36" s="178"/>
      <c r="AC36" s="99"/>
      <c r="AE36" s="205" t="s">
        <v>260</v>
      </c>
      <c r="AF36" s="178"/>
      <c r="AG36" s="178"/>
      <c r="AH36" s="178"/>
      <c r="AJ36" s="99"/>
      <c r="AL36" s="205" t="s">
        <v>261</v>
      </c>
      <c r="AM36" s="178"/>
      <c r="AN36" s="178"/>
      <c r="AO36" s="178"/>
      <c r="AQ36" s="99"/>
    </row>
    <row r="37" spans="2:43" x14ac:dyDescent="0.2">
      <c r="B37" s="99"/>
      <c r="H37" s="99"/>
      <c r="O37" s="99"/>
      <c r="V37" s="99"/>
      <c r="AC37" s="99"/>
      <c r="AJ37" s="99"/>
      <c r="AQ37" s="99"/>
    </row>
    <row r="38" spans="2:43" x14ac:dyDescent="0.2">
      <c r="B38" s="99"/>
      <c r="C38" s="204" t="s">
        <v>164</v>
      </c>
      <c r="D38" s="178"/>
      <c r="E38" s="98">
        <f>E27</f>
        <v>288</v>
      </c>
      <c r="H38" s="99"/>
      <c r="J38" s="204" t="s">
        <v>167</v>
      </c>
      <c r="K38" s="178"/>
      <c r="L38" s="98">
        <f>E28+L27</f>
        <v>1446.62</v>
      </c>
      <c r="O38" s="99"/>
      <c r="Q38" s="204" t="s">
        <v>168</v>
      </c>
      <c r="R38" s="178"/>
      <c r="S38" s="98">
        <f>L28+S27</f>
        <v>1886.64</v>
      </c>
      <c r="V38" s="99"/>
      <c r="X38" s="204" t="s">
        <v>169</v>
      </c>
      <c r="Y38" s="178"/>
      <c r="Z38" s="98">
        <f>S28+Z27</f>
        <v>1047.76</v>
      </c>
      <c r="AC38" s="99"/>
      <c r="AE38" s="204" t="s">
        <v>170</v>
      </c>
      <c r="AF38" s="178"/>
      <c r="AG38" s="98">
        <f>Z28+AG27</f>
        <v>1191</v>
      </c>
      <c r="AJ38" s="99"/>
      <c r="AL38" s="204" t="s">
        <v>171</v>
      </c>
      <c r="AM38" s="178"/>
      <c r="AN38" s="98">
        <f>AG28+AN27</f>
        <v>1191</v>
      </c>
      <c r="AQ38" s="99"/>
    </row>
    <row r="39" spans="2:43" x14ac:dyDescent="0.2">
      <c r="B39" s="99"/>
      <c r="C39" s="204" t="s">
        <v>190</v>
      </c>
      <c r="D39" s="178"/>
      <c r="E39" s="98">
        <f>E30</f>
        <v>1480</v>
      </c>
      <c r="H39" s="99"/>
      <c r="J39" s="204" t="s">
        <v>191</v>
      </c>
      <c r="K39" s="178"/>
      <c r="L39" s="98">
        <f>E31+L30</f>
        <v>7647</v>
      </c>
      <c r="O39" s="99"/>
      <c r="Q39" s="204" t="s">
        <v>192</v>
      </c>
      <c r="R39" s="178"/>
      <c r="S39" s="98">
        <f>L31+S30</f>
        <v>9874.7999999999993</v>
      </c>
      <c r="V39" s="99"/>
      <c r="X39" s="204" t="s">
        <v>193</v>
      </c>
      <c r="Y39" s="178"/>
      <c r="Z39" s="98">
        <f>S31+Z30</f>
        <v>8521</v>
      </c>
      <c r="AC39" s="99"/>
      <c r="AE39" s="204" t="s">
        <v>194</v>
      </c>
      <c r="AF39" s="178"/>
      <c r="AG39" s="98">
        <f>Z31+AG30</f>
        <v>8139.2</v>
      </c>
      <c r="AJ39" s="99"/>
      <c r="AL39" s="204" t="s">
        <v>195</v>
      </c>
      <c r="AM39" s="178"/>
      <c r="AN39" s="98">
        <f>AG31+AN30</f>
        <v>6511.2</v>
      </c>
      <c r="AQ39" s="99"/>
    </row>
    <row r="40" spans="2:43" x14ac:dyDescent="0.2">
      <c r="B40" s="99"/>
      <c r="C40" s="204" t="s">
        <v>262</v>
      </c>
      <c r="D40" s="178"/>
      <c r="E40" s="97">
        <v>0</v>
      </c>
      <c r="H40" s="99"/>
      <c r="J40" s="204" t="s">
        <v>250</v>
      </c>
      <c r="K40" s="178"/>
      <c r="L40" s="98">
        <f>E33</f>
        <v>42</v>
      </c>
      <c r="O40" s="99"/>
      <c r="Q40" s="204" t="s">
        <v>251</v>
      </c>
      <c r="R40" s="178"/>
      <c r="S40" s="98">
        <f>L33</f>
        <v>46</v>
      </c>
      <c r="V40" s="99"/>
      <c r="X40" s="204" t="s">
        <v>252</v>
      </c>
      <c r="Y40" s="178"/>
      <c r="Z40" s="98">
        <f>S33</f>
        <v>24</v>
      </c>
      <c r="AC40" s="99"/>
      <c r="AE40" s="204" t="s">
        <v>253</v>
      </c>
      <c r="AF40" s="178"/>
      <c r="AG40" s="98">
        <f>Z33</f>
        <v>24</v>
      </c>
      <c r="AJ40" s="99"/>
      <c r="AL40" s="204" t="s">
        <v>254</v>
      </c>
      <c r="AM40" s="178"/>
      <c r="AN40" s="98">
        <f>AG33</f>
        <v>22</v>
      </c>
      <c r="AQ40" s="99"/>
    </row>
    <row r="41" spans="2:43" x14ac:dyDescent="0.2">
      <c r="B41" s="99"/>
      <c r="H41" s="99"/>
      <c r="O41" s="99"/>
      <c r="V41" s="99"/>
      <c r="AC41" s="99"/>
      <c r="AJ41" s="99"/>
      <c r="AQ41" s="99"/>
    </row>
    <row r="42" spans="2:43" x14ac:dyDescent="0.2">
      <c r="B42" s="99"/>
      <c r="D42" s="100" t="s">
        <v>263</v>
      </c>
      <c r="E42" s="101">
        <f>E38+E39+E40</f>
        <v>1768</v>
      </c>
      <c r="H42" s="99"/>
      <c r="K42" s="100" t="s">
        <v>264</v>
      </c>
      <c r="L42" s="101">
        <f>L38+L39+L40</f>
        <v>9135.619999999999</v>
      </c>
      <c r="O42" s="99"/>
      <c r="R42" s="100" t="s">
        <v>265</v>
      </c>
      <c r="S42" s="101">
        <f>S38+S39+S40</f>
        <v>11807.439999999999</v>
      </c>
      <c r="V42" s="99"/>
      <c r="Y42" s="100" t="s">
        <v>266</v>
      </c>
      <c r="Z42" s="101">
        <f>Z38+Z39+Z40</f>
        <v>9592.76</v>
      </c>
      <c r="AC42" s="99"/>
      <c r="AF42" s="100" t="s">
        <v>267</v>
      </c>
      <c r="AG42" s="101">
        <f>AG38+AG39+AG40</f>
        <v>9354.2000000000007</v>
      </c>
      <c r="AJ42" s="99"/>
      <c r="AM42" s="100" t="s">
        <v>268</v>
      </c>
      <c r="AN42" s="101">
        <f>AN38+AN39+AN40</f>
        <v>7724.2</v>
      </c>
      <c r="AQ42" s="99"/>
    </row>
    <row r="43" spans="2:43" x14ac:dyDescent="0.2">
      <c r="B43" s="99"/>
      <c r="H43" s="99"/>
      <c r="O43" s="99"/>
      <c r="V43" s="99"/>
      <c r="AC43" s="99"/>
      <c r="AJ43" s="99"/>
      <c r="AQ43" s="99"/>
    </row>
    <row r="44" spans="2:43" ht="3.75" customHeight="1" x14ac:dyDescent="0.2"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</row>
  </sheetData>
  <mergeCells count="66">
    <mergeCell ref="C28:D28"/>
    <mergeCell ref="AL3:AO3"/>
    <mergeCell ref="J33:K33"/>
    <mergeCell ref="X31:Y31"/>
    <mergeCell ref="AE27:AF27"/>
    <mergeCell ref="J25:M25"/>
    <mergeCell ref="X27:Y27"/>
    <mergeCell ref="C27:D27"/>
    <mergeCell ref="AE38:AF38"/>
    <mergeCell ref="AE3:AH3"/>
    <mergeCell ref="AL33:AM33"/>
    <mergeCell ref="X38:Y38"/>
    <mergeCell ref="AE28:AF28"/>
    <mergeCell ref="C25:F25"/>
    <mergeCell ref="J31:K31"/>
    <mergeCell ref="AL25:AO25"/>
    <mergeCell ref="Q27:R27"/>
    <mergeCell ref="Q30:R30"/>
    <mergeCell ref="J36:M36"/>
    <mergeCell ref="AE30:AF30"/>
    <mergeCell ref="C38:D38"/>
    <mergeCell ref="X3:AA3"/>
    <mergeCell ref="AL38:AM38"/>
    <mergeCell ref="AE25:AH25"/>
    <mergeCell ref="Q31:R31"/>
    <mergeCell ref="X30:Y30"/>
    <mergeCell ref="Q40:R40"/>
    <mergeCell ref="AL36:AO36"/>
    <mergeCell ref="X33:Y33"/>
    <mergeCell ref="AL39:AM39"/>
    <mergeCell ref="AE40:AF40"/>
    <mergeCell ref="AL27:AM27"/>
    <mergeCell ref="Q39:R39"/>
    <mergeCell ref="J40:K40"/>
    <mergeCell ref="J30:K30"/>
    <mergeCell ref="C3:F3"/>
    <mergeCell ref="X36:AA36"/>
    <mergeCell ref="AE36:AH36"/>
    <mergeCell ref="X28:Y28"/>
    <mergeCell ref="Q38:R38"/>
    <mergeCell ref="Q25:T25"/>
    <mergeCell ref="Q3:T3"/>
    <mergeCell ref="AE33:AF33"/>
    <mergeCell ref="J27:K27"/>
    <mergeCell ref="C40:D40"/>
    <mergeCell ref="C31:D31"/>
    <mergeCell ref="AL28:AM28"/>
    <mergeCell ref="J3:M3"/>
    <mergeCell ref="Q28:R28"/>
    <mergeCell ref="J28:K28"/>
    <mergeCell ref="Q33:R33"/>
    <mergeCell ref="X25:AA25"/>
    <mergeCell ref="AL31:AM31"/>
    <mergeCell ref="J39:K39"/>
    <mergeCell ref="AL40:AM40"/>
    <mergeCell ref="X39:Y39"/>
    <mergeCell ref="C30:D30"/>
    <mergeCell ref="Q36:T36"/>
    <mergeCell ref="AL30:AM30"/>
    <mergeCell ref="C33:D33"/>
    <mergeCell ref="J38:K38"/>
    <mergeCell ref="X40:Y40"/>
    <mergeCell ref="AE31:AF31"/>
    <mergeCell ref="AE39:AF39"/>
    <mergeCell ref="C39:D39"/>
    <mergeCell ref="C36:F3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Parametri fiscali</vt:lpstr>
      <vt:lpstr>Riepilogo fiscale</vt:lpstr>
      <vt:lpstr>Fatturazioni</vt:lpstr>
      <vt:lpstr>Missioni e Rimborsi</vt:lpstr>
      <vt:lpstr>Contratti</vt:lpstr>
      <vt:lpstr>Imposte e Tasse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Massimo Ciaccheri Pirelli</dc:creator>
  <cp:lastModifiedBy>Fabio Massimo Ciaccheri Pirelli</cp:lastModifiedBy>
  <dcterms:created xsi:type="dcterms:W3CDTF">2021-09-01T07:34:44Z</dcterms:created>
  <dcterms:modified xsi:type="dcterms:W3CDTF">2026-05-04T17:23:04Z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2023-02-13T09:08:14Z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3de2a919-026a-4c0a-ae32-e5dc173b8b35</vt:lpwstr>
  </property>
  <property fmtid="{D5CDD505-2E9C-101B-9397-08002B2CF9AE}" pid="8" name="MSIP_Label_5097a60d-5525-435b-8989-8eb48ac0c8cd_ContentBits">
    <vt:lpwstr>0</vt:lpwstr>
  </property>
</Properties>
</file>